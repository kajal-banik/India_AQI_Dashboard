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Kajal Ivy\SQL\Projects\Air Quality India 2015-2020\Project Folder\"/>
    </mc:Choice>
  </mc:AlternateContent>
  <xr:revisionPtr revIDLastSave="0" documentId="13_ncr:1_{04FBED1E-687C-4696-A8FF-4762491D5B98}" xr6:coauthVersionLast="47" xr6:coauthVersionMax="47" xr10:uidLastSave="{00000000-0000-0000-0000-000000000000}"/>
  <bookViews>
    <workbookView xWindow="-120" yWindow="-120" windowWidth="20730" windowHeight="11040" firstSheet="6" activeTab="6" xr2:uid="{A4C004B2-FF02-47E2-A0C4-8C3722A05949}"/>
  </bookViews>
  <sheets>
    <sheet name="City Wise AQI" sheetId="1" state="hidden" r:id="rId1"/>
    <sheet name="Polluted City" sheetId="3" state="hidden" r:id="rId2"/>
    <sheet name="AQI Bucket" sheetId="4" state="hidden" r:id="rId3"/>
    <sheet name="MonthWise Pollutant" sheetId="6" state="hidden" r:id="rId4"/>
    <sheet name="Pollutant Levels" sheetId="5" state="hidden" r:id="rId5"/>
    <sheet name="Station Vs. AQI" sheetId="7" state="hidden" r:id="rId6"/>
    <sheet name="Dashboard" sheetId="8" r:id="rId7"/>
  </sheets>
  <definedNames>
    <definedName name="_xlcn.WorksheetConnection_AQISheet.xlsxTable11" hidden="1">Table1[]</definedName>
    <definedName name="_xlcn.WorksheetConnection_AQISheet.xlsxTable21" hidden="1">Table2[]</definedName>
    <definedName name="_xlcn.WorksheetConnection_AQISheet.xlsxTable31" hidden="1">Table3[]</definedName>
    <definedName name="_xlcn.WorksheetConnection_AQISheet.xlsxTable41" hidden="1">Table4[]</definedName>
    <definedName name="_xlcn.WorksheetConnection_AQISheet.xlsxTable51" hidden="1">Table5[]</definedName>
    <definedName name="_xlcn.WorksheetConnection_AQISheet.xlsxTable61" hidden="1">Table6[]</definedName>
    <definedName name="Slicer_AQI_Bucket">#N/A</definedName>
    <definedName name="Slicer_City">#N/A</definedName>
    <definedName name="Slicer_Month">#N/A</definedName>
    <definedName name="Slicer_Pollutant">#N/A</definedName>
    <definedName name="Slicer_State">#N/A</definedName>
    <definedName name="Slicer_Year">#N/A</definedName>
  </definedNames>
  <calcPr calcId="191029"/>
  <pivotCaches>
    <pivotCache cacheId="1091" r:id="rId8"/>
    <pivotCache cacheId="1094" r:id="rId9"/>
    <pivotCache cacheId="1097" r:id="rId10"/>
    <pivotCache cacheId="1100" r:id="rId11"/>
    <pivotCache cacheId="1103" r:id="rId12"/>
    <pivotCache cacheId="1106" r:id="rId13"/>
    <pivotCache cacheId="1109" r:id="rId14"/>
    <pivotCache cacheId="1112" r:id="rId15"/>
  </pivotCaches>
  <extLst>
    <ext xmlns:x14="http://schemas.microsoft.com/office/spreadsheetml/2009/9/main" uri="{876F7934-8845-4945-9796-88D515C7AA90}">
      <x14:pivotCaches>
        <pivotCache cacheId="257"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AQI Sheet.xlsx!Table2"/>
          <x15:modelTable id="Table1" name="Table1" connection="WorksheetConnection_AQI Sheet.xlsx!Table1"/>
          <x15:modelTable id="Table3" name="Table3" connection="WorksheetConnection_AQI Sheet.xlsx!Table3"/>
          <x15:modelTable id="Table4" name="Table4" connection="WorksheetConnection_AQI Sheet.xlsx!Table4"/>
          <x15:modelTable id="Table6" name="Table6" connection="WorksheetConnection_AQI Sheet.xlsx!Table6"/>
          <x15:modelTable id="Table5" name="Table5" connection="WorksheetConnection_AQI Sheet.xlsx!Table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4B6EBD-A2FD-4C80-A87B-26CF599531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4BC9F2B-A0F8-4906-9BAD-339A3DD41D20}" name="WorksheetConnection_AQI Sheet.xlsx!Table1" type="102" refreshedVersion="8" minRefreshableVersion="5">
    <extLst>
      <ext xmlns:x15="http://schemas.microsoft.com/office/spreadsheetml/2010/11/main" uri="{DE250136-89BD-433C-8126-D09CA5730AF9}">
        <x15:connection id="Table1" autoDelete="1">
          <x15:rangePr sourceName="_xlcn.WorksheetConnection_AQISheet.xlsxTable11"/>
        </x15:connection>
      </ext>
    </extLst>
  </connection>
  <connection id="3" xr16:uid="{BDFD5AD8-92DD-47EA-BDDD-F2A9030A1DD7}" name="WorksheetConnection_AQI Sheet.xlsx!Table2" type="102" refreshedVersion="8" minRefreshableVersion="5">
    <extLst>
      <ext xmlns:x15="http://schemas.microsoft.com/office/spreadsheetml/2010/11/main" uri="{DE250136-89BD-433C-8126-D09CA5730AF9}">
        <x15:connection id="Table2" autoDelete="1">
          <x15:rangePr sourceName="_xlcn.WorksheetConnection_AQISheet.xlsxTable21"/>
        </x15:connection>
      </ext>
    </extLst>
  </connection>
  <connection id="4" xr16:uid="{ABF4FE9B-3082-4A55-A637-174FF123A6BA}" name="WorksheetConnection_AQI Sheet.xlsx!Table3" type="102" refreshedVersion="8" minRefreshableVersion="5">
    <extLst>
      <ext xmlns:x15="http://schemas.microsoft.com/office/spreadsheetml/2010/11/main" uri="{DE250136-89BD-433C-8126-D09CA5730AF9}">
        <x15:connection id="Table3" autoDelete="1">
          <x15:rangePr sourceName="_xlcn.WorksheetConnection_AQISheet.xlsxTable31"/>
        </x15:connection>
      </ext>
    </extLst>
  </connection>
  <connection id="5" xr16:uid="{51A14BD7-965D-4E5D-A0E3-9D61EA956299}" name="WorksheetConnection_AQI Sheet.xlsx!Table4" type="102" refreshedVersion="8" minRefreshableVersion="5">
    <extLst>
      <ext xmlns:x15="http://schemas.microsoft.com/office/spreadsheetml/2010/11/main" uri="{DE250136-89BD-433C-8126-D09CA5730AF9}">
        <x15:connection id="Table4" autoDelete="1">
          <x15:rangePr sourceName="_xlcn.WorksheetConnection_AQISheet.xlsxTable41"/>
        </x15:connection>
      </ext>
    </extLst>
  </connection>
  <connection id="6" xr16:uid="{9D545461-DE66-4A62-9D4D-13E7A7ED44D5}" name="WorksheetConnection_AQI Sheet.xlsx!Table5" type="102" refreshedVersion="8" minRefreshableVersion="5">
    <extLst>
      <ext xmlns:x15="http://schemas.microsoft.com/office/spreadsheetml/2010/11/main" uri="{DE250136-89BD-433C-8126-D09CA5730AF9}">
        <x15:connection id="Table5" autoDelete="1">
          <x15:rangePr sourceName="_xlcn.WorksheetConnection_AQISheet.xlsxTable51"/>
        </x15:connection>
      </ext>
    </extLst>
  </connection>
  <connection id="7" xr16:uid="{C66809AB-04BC-4DA5-9A46-AA6448A1BCF8}" name="WorksheetConnection_AQI Sheet.xlsx!Table6" type="102" refreshedVersion="8" minRefreshableVersion="5">
    <extLst>
      <ext xmlns:x15="http://schemas.microsoft.com/office/spreadsheetml/2010/11/main" uri="{DE250136-89BD-433C-8126-D09CA5730AF9}">
        <x15:connection id="Table6" autoDelete="1">
          <x15:rangePr sourceName="_xlcn.WorksheetConnection_AQISheet.xlsxTable61"/>
        </x15:connection>
      </ext>
    </extLst>
  </connection>
</connections>
</file>

<file path=xl/sharedStrings.xml><?xml version="1.0" encoding="utf-8"?>
<sst xmlns="http://schemas.openxmlformats.org/spreadsheetml/2006/main" count="488" uniqueCount="95">
  <si>
    <t>City</t>
  </si>
  <si>
    <t>Year</t>
  </si>
  <si>
    <t>Avg_AQI</t>
  </si>
  <si>
    <t>Chennai</t>
  </si>
  <si>
    <t>Bengaluru</t>
  </si>
  <si>
    <t>Patna</t>
  </si>
  <si>
    <t>Ahmedabad</t>
  </si>
  <si>
    <t>Lucknow</t>
  </si>
  <si>
    <t>Delhi</t>
  </si>
  <si>
    <t>Hyderabad</t>
  </si>
  <si>
    <t>Gurugram</t>
  </si>
  <si>
    <t>Mumbai</t>
  </si>
  <si>
    <t>Visakhapatnam</t>
  </si>
  <si>
    <t>Amritsar</t>
  </si>
  <si>
    <t>Jaipur</t>
  </si>
  <si>
    <t>Amaravati</t>
  </si>
  <si>
    <t>Brajrajnagar</t>
  </si>
  <si>
    <t>Jorapokhar</t>
  </si>
  <si>
    <t>Talcher</t>
  </si>
  <si>
    <t>Thiruvananthapuram</t>
  </si>
  <si>
    <t>Kolkata</t>
  </si>
  <si>
    <t>Guwahati</t>
  </si>
  <si>
    <t>Chandigarh</t>
  </si>
  <si>
    <t>Shillong</t>
  </si>
  <si>
    <t>Coimbatore</t>
  </si>
  <si>
    <t>Bhopal</t>
  </si>
  <si>
    <t>Aizawl</t>
  </si>
  <si>
    <t>Ernakulam</t>
  </si>
  <si>
    <t>Kochi</t>
  </si>
  <si>
    <t>AQI_Bucket</t>
  </si>
  <si>
    <t>Total_Days</t>
  </si>
  <si>
    <t>Severe</t>
  </si>
  <si>
    <t>Poor</t>
  </si>
  <si>
    <t>Very Poor</t>
  </si>
  <si>
    <t>Pollutant</t>
  </si>
  <si>
    <t>Frequency</t>
  </si>
  <si>
    <t>PM2.5</t>
  </si>
  <si>
    <t>PM10</t>
  </si>
  <si>
    <t>NO2</t>
  </si>
  <si>
    <t>SO2</t>
  </si>
  <si>
    <t>Toluene</t>
  </si>
  <si>
    <t>NOx</t>
  </si>
  <si>
    <t>O3</t>
  </si>
  <si>
    <t>NO</t>
  </si>
  <si>
    <t>Benzene</t>
  </si>
  <si>
    <t>Xylene</t>
  </si>
  <si>
    <t>Month</t>
  </si>
  <si>
    <t>Avg_PM2_5</t>
  </si>
  <si>
    <t>Avg_PM10</t>
  </si>
  <si>
    <t>April</t>
  </si>
  <si>
    <t>August</t>
  </si>
  <si>
    <t>December</t>
  </si>
  <si>
    <t>February</t>
  </si>
  <si>
    <t>January</t>
  </si>
  <si>
    <t>July</t>
  </si>
  <si>
    <t>June</t>
  </si>
  <si>
    <t>March</t>
  </si>
  <si>
    <t>May</t>
  </si>
  <si>
    <t>November</t>
  </si>
  <si>
    <t>October</t>
  </si>
  <si>
    <t>September</t>
  </si>
  <si>
    <t>State</t>
  </si>
  <si>
    <t>Cnt_Stations</t>
  </si>
  <si>
    <t>Gujarat</t>
  </si>
  <si>
    <t>Uttar Pradesh</t>
  </si>
  <si>
    <t>Haryana</t>
  </si>
  <si>
    <t>Bihar</t>
  </si>
  <si>
    <t>Assam</t>
  </si>
  <si>
    <t>Rajasthan</t>
  </si>
  <si>
    <t>Madhya Pradesh</t>
  </si>
  <si>
    <t>West Bengal</t>
  </si>
  <si>
    <t>Odisha</t>
  </si>
  <si>
    <t>Punjab</t>
  </si>
  <si>
    <t>Jharkhand</t>
  </si>
  <si>
    <t>Andhra Pradesh</t>
  </si>
  <si>
    <t>Tamil Nadu</t>
  </si>
  <si>
    <t>Telangana</t>
  </si>
  <si>
    <t>Kerala</t>
  </si>
  <si>
    <t>Karnataka</t>
  </si>
  <si>
    <t>Maharashtra</t>
  </si>
  <si>
    <t>Meghalaya</t>
  </si>
  <si>
    <t>Mizoram</t>
  </si>
  <si>
    <t>Average of Avg_AQI</t>
  </si>
  <si>
    <t>Row Labels</t>
  </si>
  <si>
    <t>Grand Total</t>
  </si>
  <si>
    <t>Unique City count</t>
  </si>
  <si>
    <t>Column Labels</t>
  </si>
  <si>
    <t>Total Days</t>
  </si>
  <si>
    <t>Avg AQI</t>
  </si>
  <si>
    <t>% Total Days</t>
  </si>
  <si>
    <t>Sum of Avg_AQI</t>
  </si>
  <si>
    <t>Avg PM2_5</t>
  </si>
  <si>
    <t>Avg PM10</t>
  </si>
  <si>
    <t>Total Stations</t>
  </si>
  <si>
    <t>Sum of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</si>
</sst>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1" fillId="2" borderId="0" xfId="0" applyFont="1" applyFill="1"/>
    <xf numFmtId="10" fontId="0" fillId="0" borderId="0" xfId="0" applyNumberFormat="1"/>
    <xf numFmtId="1" fontId="0" fillId="0" borderId="0" xfId="0" applyNumberFormat="1"/>
    <xf numFmtId="0" fontId="0" fillId="2" borderId="0" xfId="0" applyFill="1"/>
    <xf numFmtId="0" fontId="0" fillId="0" borderId="0" xfId="0" applyNumberFormat="1"/>
    <xf numFmtId="0" fontId="0" fillId="0" borderId="0" xfId="0" applyFill="1"/>
    <xf numFmtId="0" fontId="0" fillId="0" borderId="0" xfId="0" applyFill="1" applyBorder="1"/>
  </cellXfs>
  <cellStyles count="1">
    <cellStyle name="Normal" xfId="0" builtinId="0"/>
  </cellStyles>
  <dxfs count="5">
    <dxf>
      <fill>
        <patternFill>
          <bgColor theme="5" tint="0.79998168889431442"/>
        </patternFill>
      </fill>
    </dxf>
    <dxf>
      <numFmt numFmtId="1" formatCode="0"/>
    </dxf>
    <dxf>
      <numFmt numFmtId="1" formatCode="0"/>
    </dxf>
    <dxf>
      <fill>
        <patternFill>
          <bgColor rgb="FFF9FAFB"/>
        </patternFill>
      </fill>
    </dxf>
    <dxf>
      <fill>
        <patternFill>
          <bgColor rgb="FFFFC000"/>
        </patternFill>
      </fill>
    </dxf>
  </dxfs>
  <tableStyles count="3" defaultTableStyle="TableStyleMedium2" defaultPivotStyle="PivotStyleLight16">
    <tableStyle name="No border" pivot="0" table="0" count="1" xr9:uid="{1217DF90-90F6-4F12-BB4E-D5E8C63947AD}">
      <tableStyleElement type="wholeTable" dxfId="0"/>
    </tableStyle>
    <tableStyle name="Slicer Style 1" pivot="0" table="0" count="2" xr9:uid="{A070338C-5107-49C4-AF3F-D33195E29515}">
      <tableStyleElement type="wholeTable" dxfId="4"/>
    </tableStyle>
    <tableStyle name="Slicer Style 2" pivot="0" table="0" count="2" xr9:uid="{5199CFEF-1A83-4A55-8A9D-99D9649D457E}">
      <tableStyleElement type="headerRow" dxfId="3"/>
    </tableStyle>
  </tableStyles>
  <colors>
    <mruColors>
      <color rgb="FFF3F4F6"/>
      <color rgb="FFF9FAFB"/>
      <color rgb="FFE5E7EB"/>
      <color rgb="FFF3D5B5"/>
      <color rgb="FFCB997E"/>
      <color rgb="FF22C55E"/>
      <color rgb="FF2563EB"/>
      <color rgb="FF111827"/>
      <color rgb="FFFFFFFF"/>
      <color rgb="FFFFEDD8"/>
    </mruColors>
  </colors>
  <extLst>
    <ext xmlns:x14="http://schemas.microsoft.com/office/spreadsheetml/2009/9/main" uri="{46F421CA-312F-682f-3DD2-61675219B42D}">
      <x14:dxfs count="2">
        <dxf>
          <fill>
            <patternFill>
              <bgColor rgb="FFE5E7EB"/>
            </patternFill>
          </fill>
        </dxf>
        <dxf>
          <fill>
            <patternFill>
              <bgColor rgb="FFFFC000"/>
            </patternFill>
          </fill>
        </dxf>
      </x14:dxfs>
    </ext>
    <ext xmlns:x14="http://schemas.microsoft.com/office/spreadsheetml/2009/9/main" uri="{EB79DEF2-80B8-43e5-95BD-54CBDDF9020C}">
      <x14:slicerStyles defaultSlicerStyle="Slicer Style 2">
        <x14:slicerStyle name="No border"/>
        <x14:slicerStyle name="Slicer Style 1">
          <x14:slicerStyleElements>
            <x14:slicerStyleElement type="selectedItemWithData" dxfId="1"/>
          </x14:slicerStyleElements>
        </x14:slicerStyle>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6.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Sheet.xlsx]City Wise AQI!City_AQI_Trend</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City</a:t>
            </a:r>
            <a:r>
              <a:rPr lang="en-IN" b="1" baseline="0"/>
              <a:t> AQI Trends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'City Wise AQI'!$H$2:$H$3</c:f>
              <c:strCache>
                <c:ptCount val="1"/>
                <c:pt idx="0">
                  <c:v>Ahmedabad</c:v>
                </c:pt>
              </c:strCache>
            </c:strRef>
          </c:tx>
          <c:spPr>
            <a:ln w="28575" cap="rnd">
              <a:solidFill>
                <a:schemeClr val="accent1"/>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AQI'!$H$4:$H$10</c:f>
              <c:numCache>
                <c:formatCode>0</c:formatCode>
                <c:ptCount val="6"/>
                <c:pt idx="0">
                  <c:v>267.25490000000002</c:v>
                </c:pt>
                <c:pt idx="1">
                  <c:v>285.74020000000002</c:v>
                </c:pt>
                <c:pt idx="2">
                  <c:v>528.15070000000003</c:v>
                </c:pt>
                <c:pt idx="3">
                  <c:v>611.97799999999995</c:v>
                </c:pt>
                <c:pt idx="4">
                  <c:v>504.87779999999998</c:v>
                </c:pt>
                <c:pt idx="5">
                  <c:v>232.80869999999999</c:v>
                </c:pt>
              </c:numCache>
            </c:numRef>
          </c:val>
          <c:smooth val="0"/>
          <c:extLst>
            <c:ext xmlns:c16="http://schemas.microsoft.com/office/drawing/2014/chart" uri="{C3380CC4-5D6E-409C-BE32-E72D297353CC}">
              <c16:uniqueId val="{00000000-3B1B-43A0-A7D6-BC38BD2FCE18}"/>
            </c:ext>
          </c:extLst>
        </c:ser>
        <c:ser>
          <c:idx val="1"/>
          <c:order val="1"/>
          <c:tx>
            <c:strRef>
              <c:f>'City Wise AQI'!$I$2:$I$3</c:f>
              <c:strCache>
                <c:ptCount val="1"/>
                <c:pt idx="0">
                  <c:v>Aizawl</c:v>
                </c:pt>
              </c:strCache>
            </c:strRef>
          </c:tx>
          <c:spPr>
            <a:ln w="28575" cap="rnd">
              <a:solidFill>
                <a:schemeClr val="accent2"/>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AQI'!$I$4:$I$10</c:f>
              <c:numCache>
                <c:formatCode>0</c:formatCode>
                <c:ptCount val="6"/>
                <c:pt idx="5">
                  <c:v>34.150399999999998</c:v>
                </c:pt>
              </c:numCache>
            </c:numRef>
          </c:val>
          <c:smooth val="0"/>
          <c:extLst>
            <c:ext xmlns:c16="http://schemas.microsoft.com/office/drawing/2014/chart" uri="{C3380CC4-5D6E-409C-BE32-E72D297353CC}">
              <c16:uniqueId val="{0000001B-3B1B-43A0-A7D6-BC38BD2FCE18}"/>
            </c:ext>
          </c:extLst>
        </c:ser>
        <c:ser>
          <c:idx val="2"/>
          <c:order val="2"/>
          <c:tx>
            <c:strRef>
              <c:f>'City Wise AQI'!$J$2:$J$3</c:f>
              <c:strCache>
                <c:ptCount val="1"/>
                <c:pt idx="0">
                  <c:v>Amaravati</c:v>
                </c:pt>
              </c:strCache>
            </c:strRef>
          </c:tx>
          <c:spPr>
            <a:ln w="28575" cap="rnd">
              <a:solidFill>
                <a:schemeClr val="accent3"/>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AQI'!$J$4:$J$10</c:f>
              <c:numCache>
                <c:formatCode>0</c:formatCode>
                <c:ptCount val="6"/>
                <c:pt idx="2">
                  <c:v>187.44739999999999</c:v>
                </c:pt>
                <c:pt idx="3">
                  <c:v>88.363100000000003</c:v>
                </c:pt>
                <c:pt idx="4">
                  <c:v>95.698099999999997</c:v>
                </c:pt>
                <c:pt idx="5">
                  <c:v>59.879800000000003</c:v>
                </c:pt>
              </c:numCache>
            </c:numRef>
          </c:val>
          <c:smooth val="0"/>
          <c:extLst>
            <c:ext xmlns:c16="http://schemas.microsoft.com/office/drawing/2014/chart" uri="{C3380CC4-5D6E-409C-BE32-E72D297353CC}">
              <c16:uniqueId val="{0000001C-3B1B-43A0-A7D6-BC38BD2FCE18}"/>
            </c:ext>
          </c:extLst>
        </c:ser>
        <c:ser>
          <c:idx val="3"/>
          <c:order val="3"/>
          <c:tx>
            <c:strRef>
              <c:f>'City Wise AQI'!$K$2:$K$3</c:f>
              <c:strCache>
                <c:ptCount val="1"/>
                <c:pt idx="0">
                  <c:v>Amritsar</c:v>
                </c:pt>
              </c:strCache>
            </c:strRef>
          </c:tx>
          <c:spPr>
            <a:ln w="28575" cap="rnd">
              <a:solidFill>
                <a:schemeClr val="accent4"/>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AQI'!$K$4:$K$10</c:f>
              <c:numCache>
                <c:formatCode>0</c:formatCode>
                <c:ptCount val="6"/>
                <c:pt idx="2">
                  <c:v>133.0608</c:v>
                </c:pt>
                <c:pt idx="3">
                  <c:v>111.8764</c:v>
                </c:pt>
                <c:pt idx="4">
                  <c:v>108.6</c:v>
                </c:pt>
                <c:pt idx="5">
                  <c:v>91.4011</c:v>
                </c:pt>
              </c:numCache>
            </c:numRef>
          </c:val>
          <c:smooth val="0"/>
          <c:extLst>
            <c:ext xmlns:c16="http://schemas.microsoft.com/office/drawing/2014/chart" uri="{C3380CC4-5D6E-409C-BE32-E72D297353CC}">
              <c16:uniqueId val="{0000001D-3B1B-43A0-A7D6-BC38BD2FCE18}"/>
            </c:ext>
          </c:extLst>
        </c:ser>
        <c:ser>
          <c:idx val="4"/>
          <c:order val="4"/>
          <c:tx>
            <c:strRef>
              <c:f>'City Wise AQI'!$L$2:$L$3</c:f>
              <c:strCache>
                <c:ptCount val="1"/>
                <c:pt idx="0">
                  <c:v>Bengaluru</c:v>
                </c:pt>
              </c:strCache>
            </c:strRef>
          </c:tx>
          <c:spPr>
            <a:ln w="28575" cap="rnd">
              <a:solidFill>
                <a:schemeClr val="accent5"/>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AQI'!$L$4:$L$10</c:f>
              <c:numCache>
                <c:formatCode>0</c:formatCode>
                <c:ptCount val="6"/>
                <c:pt idx="0">
                  <c:v>88.208200000000005</c:v>
                </c:pt>
                <c:pt idx="1">
                  <c:v>101.5342</c:v>
                </c:pt>
                <c:pt idx="2">
                  <c:v>86.882199999999997</c:v>
                </c:pt>
                <c:pt idx="3">
                  <c:v>85.361599999999996</c:v>
                </c:pt>
                <c:pt idx="4">
                  <c:v>91.602699999999999</c:v>
                </c:pt>
                <c:pt idx="5">
                  <c:v>79.715800000000002</c:v>
                </c:pt>
              </c:numCache>
            </c:numRef>
          </c:val>
          <c:smooth val="0"/>
          <c:extLst>
            <c:ext xmlns:c16="http://schemas.microsoft.com/office/drawing/2014/chart" uri="{C3380CC4-5D6E-409C-BE32-E72D297353CC}">
              <c16:uniqueId val="{0000001E-3B1B-43A0-A7D6-BC38BD2FCE18}"/>
            </c:ext>
          </c:extLst>
        </c:ser>
        <c:ser>
          <c:idx val="5"/>
          <c:order val="5"/>
          <c:tx>
            <c:strRef>
              <c:f>'City Wise AQI'!$M$2:$M$3</c:f>
              <c:strCache>
                <c:ptCount val="1"/>
                <c:pt idx="0">
                  <c:v>Bhopal</c:v>
                </c:pt>
              </c:strCache>
            </c:strRef>
          </c:tx>
          <c:spPr>
            <a:ln w="28575" cap="rnd">
              <a:solidFill>
                <a:schemeClr val="accent6"/>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AQI'!$M$4:$M$10</c:f>
              <c:numCache>
                <c:formatCode>0</c:formatCode>
                <c:ptCount val="6"/>
                <c:pt idx="4">
                  <c:v>161.07550000000001</c:v>
                </c:pt>
                <c:pt idx="5">
                  <c:v>114.092</c:v>
                </c:pt>
              </c:numCache>
            </c:numRef>
          </c:val>
          <c:smooth val="0"/>
          <c:extLst>
            <c:ext xmlns:c16="http://schemas.microsoft.com/office/drawing/2014/chart" uri="{C3380CC4-5D6E-409C-BE32-E72D297353CC}">
              <c16:uniqueId val="{0000001F-3B1B-43A0-A7D6-BC38BD2FCE18}"/>
            </c:ext>
          </c:extLst>
        </c:ser>
        <c:ser>
          <c:idx val="6"/>
          <c:order val="6"/>
          <c:tx>
            <c:strRef>
              <c:f>'City Wise AQI'!$N$2:$N$3</c:f>
              <c:strCache>
                <c:ptCount val="1"/>
                <c:pt idx="0">
                  <c:v>Brajrajnagar</c:v>
                </c:pt>
              </c:strCache>
            </c:strRef>
          </c:tx>
          <c:spPr>
            <a:ln w="28575" cap="rnd">
              <a:solidFill>
                <a:schemeClr val="accent1">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AQI'!$N$4:$N$10</c:f>
              <c:numCache>
                <c:formatCode>0</c:formatCode>
                <c:ptCount val="6"/>
                <c:pt idx="2">
                  <c:v>123.8</c:v>
                </c:pt>
                <c:pt idx="3">
                  <c:v>149.81039999999999</c:v>
                </c:pt>
                <c:pt idx="4">
                  <c:v>135.3683</c:v>
                </c:pt>
                <c:pt idx="5">
                  <c:v>108.4314</c:v>
                </c:pt>
              </c:numCache>
            </c:numRef>
          </c:val>
          <c:smooth val="0"/>
          <c:extLst>
            <c:ext xmlns:c16="http://schemas.microsoft.com/office/drawing/2014/chart" uri="{C3380CC4-5D6E-409C-BE32-E72D297353CC}">
              <c16:uniqueId val="{00000020-3B1B-43A0-A7D6-BC38BD2FCE18}"/>
            </c:ext>
          </c:extLst>
        </c:ser>
        <c:ser>
          <c:idx val="7"/>
          <c:order val="7"/>
          <c:tx>
            <c:strRef>
              <c:f>'City Wise AQI'!$O$2:$O$3</c:f>
              <c:strCache>
                <c:ptCount val="1"/>
                <c:pt idx="0">
                  <c:v>Chandigarh</c:v>
                </c:pt>
              </c:strCache>
            </c:strRef>
          </c:tx>
          <c:spPr>
            <a:ln w="28575" cap="rnd">
              <a:solidFill>
                <a:schemeClr val="accent2">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AQI'!$O$4:$O$10</c:f>
              <c:numCache>
                <c:formatCode>0</c:formatCode>
                <c:ptCount val="6"/>
                <c:pt idx="4">
                  <c:v>131.06610000000001</c:v>
                </c:pt>
                <c:pt idx="5">
                  <c:v>71.005499999999998</c:v>
                </c:pt>
              </c:numCache>
            </c:numRef>
          </c:val>
          <c:smooth val="0"/>
          <c:extLst>
            <c:ext xmlns:c16="http://schemas.microsoft.com/office/drawing/2014/chart" uri="{C3380CC4-5D6E-409C-BE32-E72D297353CC}">
              <c16:uniqueId val="{00000021-3B1B-43A0-A7D6-BC38BD2FCE18}"/>
            </c:ext>
          </c:extLst>
        </c:ser>
        <c:ser>
          <c:idx val="8"/>
          <c:order val="8"/>
          <c:tx>
            <c:strRef>
              <c:f>'City Wise AQI'!$P$2:$P$3</c:f>
              <c:strCache>
                <c:ptCount val="1"/>
                <c:pt idx="0">
                  <c:v>Chennai</c:v>
                </c:pt>
              </c:strCache>
            </c:strRef>
          </c:tx>
          <c:spPr>
            <a:ln w="28575" cap="rnd">
              <a:solidFill>
                <a:schemeClr val="accent3">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AQI'!$P$4:$P$10</c:f>
              <c:numCache>
                <c:formatCode>0</c:formatCode>
                <c:ptCount val="6"/>
                <c:pt idx="0">
                  <c:v>112.7824</c:v>
                </c:pt>
                <c:pt idx="1">
                  <c:v>136.1206</c:v>
                </c:pt>
                <c:pt idx="2">
                  <c:v>103.9614</c:v>
                </c:pt>
                <c:pt idx="3">
                  <c:v>105.49039999999999</c:v>
                </c:pt>
                <c:pt idx="4">
                  <c:v>102.9425</c:v>
                </c:pt>
                <c:pt idx="5">
                  <c:v>80.251400000000004</c:v>
                </c:pt>
              </c:numCache>
            </c:numRef>
          </c:val>
          <c:smooth val="0"/>
          <c:extLst>
            <c:ext xmlns:c16="http://schemas.microsoft.com/office/drawing/2014/chart" uri="{C3380CC4-5D6E-409C-BE32-E72D297353CC}">
              <c16:uniqueId val="{00000022-3B1B-43A0-A7D6-BC38BD2FCE18}"/>
            </c:ext>
          </c:extLst>
        </c:ser>
        <c:ser>
          <c:idx val="9"/>
          <c:order val="9"/>
          <c:tx>
            <c:strRef>
              <c:f>'City Wise AQI'!$Q$2:$Q$3</c:f>
              <c:strCache>
                <c:ptCount val="1"/>
                <c:pt idx="0">
                  <c:v>Coimbatore</c:v>
                </c:pt>
              </c:strCache>
            </c:strRef>
          </c:tx>
          <c:spPr>
            <a:ln w="28575" cap="rnd">
              <a:solidFill>
                <a:schemeClr val="accent4">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AQI'!$Q$4:$Q$10</c:f>
              <c:numCache>
                <c:formatCode>0</c:formatCode>
                <c:ptCount val="6"/>
                <c:pt idx="4">
                  <c:v>71.334999999999994</c:v>
                </c:pt>
                <c:pt idx="5">
                  <c:v>58.779000000000003</c:v>
                </c:pt>
              </c:numCache>
            </c:numRef>
          </c:val>
          <c:smooth val="0"/>
          <c:extLst>
            <c:ext xmlns:c16="http://schemas.microsoft.com/office/drawing/2014/chart" uri="{C3380CC4-5D6E-409C-BE32-E72D297353CC}">
              <c16:uniqueId val="{00000023-3B1B-43A0-A7D6-BC38BD2FCE18}"/>
            </c:ext>
          </c:extLst>
        </c:ser>
        <c:ser>
          <c:idx val="10"/>
          <c:order val="10"/>
          <c:tx>
            <c:strRef>
              <c:f>'City Wise AQI'!$R$2:$R$3</c:f>
              <c:strCache>
                <c:ptCount val="1"/>
                <c:pt idx="0">
                  <c:v>Delhi</c:v>
                </c:pt>
              </c:strCache>
            </c:strRef>
          </c:tx>
          <c:spPr>
            <a:ln w="28575" cap="rnd">
              <a:solidFill>
                <a:schemeClr val="accent5">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AQI'!$R$4:$R$10</c:f>
              <c:numCache>
                <c:formatCode>0</c:formatCode>
                <c:ptCount val="6"/>
                <c:pt idx="0">
                  <c:v>297.0247</c:v>
                </c:pt>
                <c:pt idx="1">
                  <c:v>300.54640000000001</c:v>
                </c:pt>
                <c:pt idx="2">
                  <c:v>251.08519999999999</c:v>
                </c:pt>
                <c:pt idx="3">
                  <c:v>249.15889999999999</c:v>
                </c:pt>
                <c:pt idx="4">
                  <c:v>232.10409999999999</c:v>
                </c:pt>
                <c:pt idx="5">
                  <c:v>181.6721</c:v>
                </c:pt>
              </c:numCache>
            </c:numRef>
          </c:val>
          <c:smooth val="0"/>
          <c:extLst>
            <c:ext xmlns:c16="http://schemas.microsoft.com/office/drawing/2014/chart" uri="{C3380CC4-5D6E-409C-BE32-E72D297353CC}">
              <c16:uniqueId val="{00000024-3B1B-43A0-A7D6-BC38BD2FCE18}"/>
            </c:ext>
          </c:extLst>
        </c:ser>
        <c:ser>
          <c:idx val="11"/>
          <c:order val="11"/>
          <c:tx>
            <c:strRef>
              <c:f>'City Wise AQI'!$S$2:$S$3</c:f>
              <c:strCache>
                <c:ptCount val="1"/>
                <c:pt idx="0">
                  <c:v>Ernakulam</c:v>
                </c:pt>
              </c:strCache>
            </c:strRef>
          </c:tx>
          <c:spPr>
            <a:ln w="28575" cap="rnd">
              <a:solidFill>
                <a:schemeClr val="accent6">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AQI'!$S$4:$S$10</c:f>
              <c:numCache>
                <c:formatCode>0</c:formatCode>
                <c:ptCount val="6"/>
                <c:pt idx="5">
                  <c:v>88.874200000000002</c:v>
                </c:pt>
              </c:numCache>
            </c:numRef>
          </c:val>
          <c:smooth val="0"/>
          <c:extLst>
            <c:ext xmlns:c16="http://schemas.microsoft.com/office/drawing/2014/chart" uri="{C3380CC4-5D6E-409C-BE32-E72D297353CC}">
              <c16:uniqueId val="{00000025-3B1B-43A0-A7D6-BC38BD2FCE18}"/>
            </c:ext>
          </c:extLst>
        </c:ser>
        <c:ser>
          <c:idx val="12"/>
          <c:order val="12"/>
          <c:tx>
            <c:strRef>
              <c:f>'City Wise AQI'!$T$2:$T$3</c:f>
              <c:strCache>
                <c:ptCount val="1"/>
                <c:pt idx="0">
                  <c:v>Gurugram</c:v>
                </c:pt>
              </c:strCache>
            </c:strRef>
          </c:tx>
          <c:spPr>
            <a:ln w="28575" cap="rnd">
              <a:solidFill>
                <a:schemeClr val="accent1">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AQI'!$T$4:$T$10</c:f>
              <c:numCache>
                <c:formatCode>0</c:formatCode>
                <c:ptCount val="6"/>
                <c:pt idx="1">
                  <c:v>166.8665</c:v>
                </c:pt>
                <c:pt idx="2">
                  <c:v>260.18610000000001</c:v>
                </c:pt>
                <c:pt idx="3">
                  <c:v>219.3168</c:v>
                </c:pt>
                <c:pt idx="4">
                  <c:v>194.68770000000001</c:v>
                </c:pt>
                <c:pt idx="5">
                  <c:v>158.6557</c:v>
                </c:pt>
              </c:numCache>
            </c:numRef>
          </c:val>
          <c:smooth val="0"/>
          <c:extLst>
            <c:ext xmlns:c16="http://schemas.microsoft.com/office/drawing/2014/chart" uri="{C3380CC4-5D6E-409C-BE32-E72D297353CC}">
              <c16:uniqueId val="{00000026-3B1B-43A0-A7D6-BC38BD2FCE18}"/>
            </c:ext>
          </c:extLst>
        </c:ser>
        <c:ser>
          <c:idx val="13"/>
          <c:order val="13"/>
          <c:tx>
            <c:strRef>
              <c:f>'City Wise AQI'!$U$2:$U$3</c:f>
              <c:strCache>
                <c:ptCount val="1"/>
                <c:pt idx="0">
                  <c:v>Guwahati</c:v>
                </c:pt>
              </c:strCache>
            </c:strRef>
          </c:tx>
          <c:spPr>
            <a:ln w="28575" cap="rnd">
              <a:solidFill>
                <a:schemeClr val="accent2">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AQI'!$U$4:$U$10</c:f>
              <c:numCache>
                <c:formatCode>0</c:formatCode>
                <c:ptCount val="6"/>
                <c:pt idx="4">
                  <c:v>124.76179999999999</c:v>
                </c:pt>
                <c:pt idx="5">
                  <c:v>161.50819999999999</c:v>
                </c:pt>
              </c:numCache>
            </c:numRef>
          </c:val>
          <c:smooth val="0"/>
          <c:extLst>
            <c:ext xmlns:c16="http://schemas.microsoft.com/office/drawing/2014/chart" uri="{C3380CC4-5D6E-409C-BE32-E72D297353CC}">
              <c16:uniqueId val="{00000027-3B1B-43A0-A7D6-BC38BD2FCE18}"/>
            </c:ext>
          </c:extLst>
        </c:ser>
        <c:ser>
          <c:idx val="14"/>
          <c:order val="14"/>
          <c:tx>
            <c:strRef>
              <c:f>'City Wise AQI'!$V$2:$V$3</c:f>
              <c:strCache>
                <c:ptCount val="1"/>
                <c:pt idx="0">
                  <c:v>Hyderabad</c:v>
                </c:pt>
              </c:strCache>
            </c:strRef>
          </c:tx>
          <c:spPr>
            <a:ln w="28575" cap="rnd">
              <a:solidFill>
                <a:schemeClr val="accent3">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AQI'!$V$4:$V$10</c:f>
              <c:numCache>
                <c:formatCode>0</c:formatCode>
                <c:ptCount val="6"/>
                <c:pt idx="0">
                  <c:v>108.36109999999999</c:v>
                </c:pt>
                <c:pt idx="1">
                  <c:v>121.35939999999999</c:v>
                </c:pt>
                <c:pt idx="2">
                  <c:v>110.17529999999999</c:v>
                </c:pt>
                <c:pt idx="3">
                  <c:v>97.556200000000004</c:v>
                </c:pt>
                <c:pt idx="4">
                  <c:v>93.980800000000002</c:v>
                </c:pt>
                <c:pt idx="5">
                  <c:v>78.174899999999994</c:v>
                </c:pt>
              </c:numCache>
            </c:numRef>
          </c:val>
          <c:smooth val="0"/>
          <c:extLst>
            <c:ext xmlns:c16="http://schemas.microsoft.com/office/drawing/2014/chart" uri="{C3380CC4-5D6E-409C-BE32-E72D297353CC}">
              <c16:uniqueId val="{00000028-3B1B-43A0-A7D6-BC38BD2FCE18}"/>
            </c:ext>
          </c:extLst>
        </c:ser>
        <c:ser>
          <c:idx val="15"/>
          <c:order val="15"/>
          <c:tx>
            <c:strRef>
              <c:f>'City Wise AQI'!$W$2:$W$3</c:f>
              <c:strCache>
                <c:ptCount val="1"/>
                <c:pt idx="0">
                  <c:v>Jaipur</c:v>
                </c:pt>
              </c:strCache>
            </c:strRef>
          </c:tx>
          <c:spPr>
            <a:ln w="28575" cap="rnd">
              <a:solidFill>
                <a:schemeClr val="accent4">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AQI'!$W$4:$W$10</c:f>
              <c:numCache>
                <c:formatCode>0</c:formatCode>
                <c:ptCount val="6"/>
                <c:pt idx="2">
                  <c:v>147.96340000000001</c:v>
                </c:pt>
                <c:pt idx="3">
                  <c:v>150.0274</c:v>
                </c:pt>
                <c:pt idx="4">
                  <c:v>120.5123</c:v>
                </c:pt>
                <c:pt idx="5">
                  <c:v>105.1202</c:v>
                </c:pt>
              </c:numCache>
            </c:numRef>
          </c:val>
          <c:smooth val="0"/>
          <c:extLst>
            <c:ext xmlns:c16="http://schemas.microsoft.com/office/drawing/2014/chart" uri="{C3380CC4-5D6E-409C-BE32-E72D297353CC}">
              <c16:uniqueId val="{00000034-3B1B-43A0-A7D6-BC38BD2FCE18}"/>
            </c:ext>
          </c:extLst>
        </c:ser>
        <c:ser>
          <c:idx val="16"/>
          <c:order val="16"/>
          <c:tx>
            <c:strRef>
              <c:f>'City Wise AQI'!$X$2:$X$3</c:f>
              <c:strCache>
                <c:ptCount val="1"/>
                <c:pt idx="0">
                  <c:v>Jorapokhar</c:v>
                </c:pt>
              </c:strCache>
            </c:strRef>
          </c:tx>
          <c:spPr>
            <a:ln w="28575" cap="rnd">
              <a:solidFill>
                <a:schemeClr val="accent5">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AQI'!$X$4:$X$10</c:f>
              <c:numCache>
                <c:formatCode>0</c:formatCode>
                <c:ptCount val="6"/>
                <c:pt idx="2">
                  <c:v>63.740299999999998</c:v>
                </c:pt>
                <c:pt idx="3">
                  <c:v>155.49629999999999</c:v>
                </c:pt>
                <c:pt idx="4">
                  <c:v>147.8297</c:v>
                </c:pt>
                <c:pt idx="5">
                  <c:v>129.3681</c:v>
                </c:pt>
              </c:numCache>
            </c:numRef>
          </c:val>
          <c:smooth val="0"/>
          <c:extLst>
            <c:ext xmlns:c16="http://schemas.microsoft.com/office/drawing/2014/chart" uri="{C3380CC4-5D6E-409C-BE32-E72D297353CC}">
              <c16:uniqueId val="{00000035-3B1B-43A0-A7D6-BC38BD2FCE18}"/>
            </c:ext>
          </c:extLst>
        </c:ser>
        <c:ser>
          <c:idx val="17"/>
          <c:order val="17"/>
          <c:tx>
            <c:strRef>
              <c:f>'City Wise AQI'!$Y$2:$Y$3</c:f>
              <c:strCache>
                <c:ptCount val="1"/>
                <c:pt idx="0">
                  <c:v>Kochi</c:v>
                </c:pt>
              </c:strCache>
            </c:strRef>
          </c:tx>
          <c:spPr>
            <a:ln w="28575" cap="rnd">
              <a:solidFill>
                <a:schemeClr val="accent6">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AQI'!$Y$4:$Y$10</c:f>
              <c:numCache>
                <c:formatCode>0</c:formatCode>
                <c:ptCount val="6"/>
                <c:pt idx="5">
                  <c:v>101.7099</c:v>
                </c:pt>
              </c:numCache>
            </c:numRef>
          </c:val>
          <c:smooth val="0"/>
          <c:extLst>
            <c:ext xmlns:c16="http://schemas.microsoft.com/office/drawing/2014/chart" uri="{C3380CC4-5D6E-409C-BE32-E72D297353CC}">
              <c16:uniqueId val="{00000036-3B1B-43A0-A7D6-BC38BD2FCE18}"/>
            </c:ext>
          </c:extLst>
        </c:ser>
        <c:ser>
          <c:idx val="18"/>
          <c:order val="18"/>
          <c:tx>
            <c:strRef>
              <c:f>'City Wise AQI'!$Z$2:$Z$3</c:f>
              <c:strCache>
                <c:ptCount val="1"/>
                <c:pt idx="0">
                  <c:v>Kolkata</c:v>
                </c:pt>
              </c:strCache>
            </c:strRef>
          </c:tx>
          <c:spPr>
            <a:ln w="28575" cap="rnd">
              <a:solidFill>
                <a:schemeClr val="accent1">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AQI'!$Z$4:$Z$10</c:f>
              <c:numCache>
                <c:formatCode>0</c:formatCode>
                <c:ptCount val="6"/>
                <c:pt idx="3">
                  <c:v>120.282</c:v>
                </c:pt>
                <c:pt idx="4">
                  <c:v>143.90960000000001</c:v>
                </c:pt>
                <c:pt idx="5">
                  <c:v>117.29510000000001</c:v>
                </c:pt>
              </c:numCache>
            </c:numRef>
          </c:val>
          <c:smooth val="0"/>
          <c:extLst>
            <c:ext xmlns:c16="http://schemas.microsoft.com/office/drawing/2014/chart" uri="{C3380CC4-5D6E-409C-BE32-E72D297353CC}">
              <c16:uniqueId val="{0000003F-3B1B-43A0-A7D6-BC38BD2FCE18}"/>
            </c:ext>
          </c:extLst>
        </c:ser>
        <c:ser>
          <c:idx val="19"/>
          <c:order val="19"/>
          <c:tx>
            <c:strRef>
              <c:f>'City Wise AQI'!$AA$2:$AA$3</c:f>
              <c:strCache>
                <c:ptCount val="1"/>
                <c:pt idx="0">
                  <c:v>Lucknow</c:v>
                </c:pt>
              </c:strCache>
            </c:strRef>
          </c:tx>
          <c:spPr>
            <a:ln w="28575" cap="rnd">
              <a:solidFill>
                <a:schemeClr val="accent2">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AQI'!$AA$4:$AA$10</c:f>
              <c:numCache>
                <c:formatCode>0</c:formatCode>
                <c:ptCount val="6"/>
                <c:pt idx="0">
                  <c:v>157.3562</c:v>
                </c:pt>
                <c:pt idx="1">
                  <c:v>231.8657</c:v>
                </c:pt>
                <c:pt idx="2">
                  <c:v>236.96690000000001</c:v>
                </c:pt>
                <c:pt idx="3">
                  <c:v>233.77260000000001</c:v>
                </c:pt>
                <c:pt idx="4">
                  <c:v>202.5616</c:v>
                </c:pt>
                <c:pt idx="5">
                  <c:v>157.12569999999999</c:v>
                </c:pt>
              </c:numCache>
            </c:numRef>
          </c:val>
          <c:smooth val="0"/>
          <c:extLst>
            <c:ext xmlns:c16="http://schemas.microsoft.com/office/drawing/2014/chart" uri="{C3380CC4-5D6E-409C-BE32-E72D297353CC}">
              <c16:uniqueId val="{00000040-3B1B-43A0-A7D6-BC38BD2FCE18}"/>
            </c:ext>
          </c:extLst>
        </c:ser>
        <c:ser>
          <c:idx val="20"/>
          <c:order val="20"/>
          <c:tx>
            <c:strRef>
              <c:f>'City Wise AQI'!$AB$2:$AB$3</c:f>
              <c:strCache>
                <c:ptCount val="1"/>
                <c:pt idx="0">
                  <c:v>Mumbai</c:v>
                </c:pt>
              </c:strCache>
            </c:strRef>
          </c:tx>
          <c:spPr>
            <a:ln w="28575" cap="rnd">
              <a:solidFill>
                <a:schemeClr val="accent3">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AQI'!$AB$4:$AB$10</c:f>
              <c:numCache>
                <c:formatCode>0</c:formatCode>
                <c:ptCount val="6"/>
                <c:pt idx="3">
                  <c:v>66.361800000000002</c:v>
                </c:pt>
                <c:pt idx="4">
                  <c:v>107.9507</c:v>
                </c:pt>
                <c:pt idx="5">
                  <c:v>103.56829999999999</c:v>
                </c:pt>
              </c:numCache>
            </c:numRef>
          </c:val>
          <c:smooth val="0"/>
          <c:extLst>
            <c:ext xmlns:c16="http://schemas.microsoft.com/office/drawing/2014/chart" uri="{C3380CC4-5D6E-409C-BE32-E72D297353CC}">
              <c16:uniqueId val="{00000041-3B1B-43A0-A7D6-BC38BD2FCE18}"/>
            </c:ext>
          </c:extLst>
        </c:ser>
        <c:ser>
          <c:idx val="21"/>
          <c:order val="21"/>
          <c:tx>
            <c:strRef>
              <c:f>'City Wise AQI'!$AC$2:$AC$3</c:f>
              <c:strCache>
                <c:ptCount val="1"/>
                <c:pt idx="0">
                  <c:v>Patna</c:v>
                </c:pt>
              </c:strCache>
            </c:strRef>
          </c:tx>
          <c:spPr>
            <a:ln w="28575" cap="rnd">
              <a:solidFill>
                <a:schemeClr val="accent4">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AQI'!$AC$4:$AC$10</c:f>
              <c:numCache>
                <c:formatCode>0</c:formatCode>
                <c:ptCount val="6"/>
                <c:pt idx="0">
                  <c:v>137.1739</c:v>
                </c:pt>
                <c:pt idx="1">
                  <c:v>231.35730000000001</c:v>
                </c:pt>
                <c:pt idx="2">
                  <c:v>207.9513</c:v>
                </c:pt>
                <c:pt idx="3">
                  <c:v>231.07400000000001</c:v>
                </c:pt>
                <c:pt idx="4">
                  <c:v>215.261</c:v>
                </c:pt>
                <c:pt idx="5">
                  <c:v>162.25139999999999</c:v>
                </c:pt>
              </c:numCache>
            </c:numRef>
          </c:val>
          <c:smooth val="0"/>
          <c:extLst>
            <c:ext xmlns:c16="http://schemas.microsoft.com/office/drawing/2014/chart" uri="{C3380CC4-5D6E-409C-BE32-E72D297353CC}">
              <c16:uniqueId val="{00000042-3B1B-43A0-A7D6-BC38BD2FCE18}"/>
            </c:ext>
          </c:extLst>
        </c:ser>
        <c:ser>
          <c:idx val="22"/>
          <c:order val="22"/>
          <c:tx>
            <c:strRef>
              <c:f>'City Wise AQI'!$AD$2:$AD$3</c:f>
              <c:strCache>
                <c:ptCount val="1"/>
                <c:pt idx="0">
                  <c:v>Shillong</c:v>
                </c:pt>
              </c:strCache>
            </c:strRef>
          </c:tx>
          <c:spPr>
            <a:ln w="28575" cap="rnd">
              <a:solidFill>
                <a:schemeClr val="accent5">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AQI'!$AD$4:$AD$10</c:f>
              <c:numCache>
                <c:formatCode>0</c:formatCode>
                <c:ptCount val="6"/>
                <c:pt idx="4">
                  <c:v>27.742599999999999</c:v>
                </c:pt>
                <c:pt idx="5">
                  <c:v>53.070999999999998</c:v>
                </c:pt>
              </c:numCache>
            </c:numRef>
          </c:val>
          <c:smooth val="0"/>
          <c:extLst>
            <c:ext xmlns:c16="http://schemas.microsoft.com/office/drawing/2014/chart" uri="{C3380CC4-5D6E-409C-BE32-E72D297353CC}">
              <c16:uniqueId val="{00000043-3B1B-43A0-A7D6-BC38BD2FCE18}"/>
            </c:ext>
          </c:extLst>
        </c:ser>
        <c:ser>
          <c:idx val="23"/>
          <c:order val="23"/>
          <c:tx>
            <c:strRef>
              <c:f>'City Wise AQI'!$AE$2:$AE$3</c:f>
              <c:strCache>
                <c:ptCount val="1"/>
                <c:pt idx="0">
                  <c:v>Talcher</c:v>
                </c:pt>
              </c:strCache>
            </c:strRef>
          </c:tx>
          <c:spPr>
            <a:ln w="28575" cap="rnd">
              <a:solidFill>
                <a:schemeClr val="accent6">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AQI'!$AE$4:$AE$10</c:f>
              <c:numCache>
                <c:formatCode>0</c:formatCode>
                <c:ptCount val="6"/>
                <c:pt idx="3">
                  <c:v>156.3134</c:v>
                </c:pt>
                <c:pt idx="4">
                  <c:v>145.0822</c:v>
                </c:pt>
                <c:pt idx="5">
                  <c:v>146.59649999999999</c:v>
                </c:pt>
              </c:numCache>
            </c:numRef>
          </c:val>
          <c:smooth val="0"/>
          <c:extLst>
            <c:ext xmlns:c16="http://schemas.microsoft.com/office/drawing/2014/chart" uri="{C3380CC4-5D6E-409C-BE32-E72D297353CC}">
              <c16:uniqueId val="{00000044-3B1B-43A0-A7D6-BC38BD2FCE18}"/>
            </c:ext>
          </c:extLst>
        </c:ser>
        <c:ser>
          <c:idx val="24"/>
          <c:order val="24"/>
          <c:tx>
            <c:strRef>
              <c:f>'City Wise AQI'!$AF$2:$AF$3</c:f>
              <c:strCache>
                <c:ptCount val="1"/>
                <c:pt idx="0">
                  <c:v>Thiruvananthapuram</c:v>
                </c:pt>
              </c:strCache>
            </c:strRef>
          </c:tx>
          <c:spPr>
            <a:ln w="28575" cap="rnd">
              <a:solidFill>
                <a:schemeClr val="accent1">
                  <a:lumMod val="60000"/>
                  <a:lumOff val="4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AQI'!$AF$4:$AF$10</c:f>
              <c:numCache>
                <c:formatCode>0</c:formatCode>
                <c:ptCount val="6"/>
                <c:pt idx="2">
                  <c:v>56.104199999999999</c:v>
                </c:pt>
                <c:pt idx="3">
                  <c:v>82.547899999999998</c:v>
                </c:pt>
                <c:pt idx="4">
                  <c:v>74.537599999999998</c:v>
                </c:pt>
                <c:pt idx="5">
                  <c:v>66.464500000000001</c:v>
                </c:pt>
              </c:numCache>
            </c:numRef>
          </c:val>
          <c:smooth val="0"/>
          <c:extLst>
            <c:ext xmlns:c16="http://schemas.microsoft.com/office/drawing/2014/chart" uri="{C3380CC4-5D6E-409C-BE32-E72D297353CC}">
              <c16:uniqueId val="{00000045-3B1B-43A0-A7D6-BC38BD2FCE18}"/>
            </c:ext>
          </c:extLst>
        </c:ser>
        <c:ser>
          <c:idx val="25"/>
          <c:order val="25"/>
          <c:tx>
            <c:strRef>
              <c:f>'City Wise AQI'!$AG$2:$AG$3</c:f>
              <c:strCache>
                <c:ptCount val="1"/>
                <c:pt idx="0">
                  <c:v>Visakhapatnam</c:v>
                </c:pt>
              </c:strCache>
            </c:strRef>
          </c:tx>
          <c:spPr>
            <a:ln w="28575" cap="rnd">
              <a:solidFill>
                <a:schemeClr val="accent2">
                  <a:lumMod val="60000"/>
                  <a:lumOff val="4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AQI'!$AG$4:$AG$10</c:f>
              <c:numCache>
                <c:formatCode>0</c:formatCode>
                <c:ptCount val="6"/>
                <c:pt idx="1">
                  <c:v>97.550600000000003</c:v>
                </c:pt>
                <c:pt idx="2">
                  <c:v>115.4924</c:v>
                </c:pt>
                <c:pt idx="3">
                  <c:v>115.05459999999999</c:v>
                </c:pt>
                <c:pt idx="4">
                  <c:v>117.9104</c:v>
                </c:pt>
                <c:pt idx="5">
                  <c:v>82.824200000000005</c:v>
                </c:pt>
              </c:numCache>
            </c:numRef>
          </c:val>
          <c:smooth val="0"/>
          <c:extLst>
            <c:ext xmlns:c16="http://schemas.microsoft.com/office/drawing/2014/chart" uri="{C3380CC4-5D6E-409C-BE32-E72D297353CC}">
              <c16:uniqueId val="{00000048-3B1B-43A0-A7D6-BC38BD2FCE18}"/>
            </c:ext>
          </c:extLst>
        </c:ser>
        <c:dLbls>
          <c:showLegendKey val="0"/>
          <c:showVal val="0"/>
          <c:showCatName val="0"/>
          <c:showSerName val="0"/>
          <c:showPercent val="0"/>
          <c:showBubbleSize val="0"/>
        </c:dLbls>
        <c:smooth val="0"/>
        <c:axId val="1469383008"/>
        <c:axId val="1469393088"/>
      </c:lineChart>
      <c:catAx>
        <c:axId val="146938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93088"/>
        <c:crosses val="autoZero"/>
        <c:auto val="1"/>
        <c:lblAlgn val="ctr"/>
        <c:lblOffset val="100"/>
        <c:noMultiLvlLbl val="0"/>
      </c:catAx>
      <c:valAx>
        <c:axId val="14693930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6938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Sheet.xlsx]Polluted City!Polluted_City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Polluted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'Polluted City'!$F$2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'Polluted City'!$E$3:$E$13</c:f>
              <c:strCache>
                <c:ptCount val="10"/>
                <c:pt idx="0">
                  <c:v>Delhi</c:v>
                </c:pt>
                <c:pt idx="1">
                  <c:v>Ahmedabad</c:v>
                </c:pt>
                <c:pt idx="2">
                  <c:v>Lucknow</c:v>
                </c:pt>
                <c:pt idx="3">
                  <c:v>Patna</c:v>
                </c:pt>
                <c:pt idx="4">
                  <c:v>Gurugram</c:v>
                </c:pt>
                <c:pt idx="5">
                  <c:v>Talcher</c:v>
                </c:pt>
                <c:pt idx="6">
                  <c:v>Kolkata</c:v>
                </c:pt>
                <c:pt idx="7">
                  <c:v>Jorapokhar</c:v>
                </c:pt>
                <c:pt idx="8">
                  <c:v>Brajrajnagar</c:v>
                </c:pt>
                <c:pt idx="9">
                  <c:v>Guwahati</c:v>
                </c:pt>
              </c:strCache>
            </c:strRef>
          </c:cat>
          <c:val>
            <c:numRef>
              <c:f>'Polluted City'!$F$3:$F$13</c:f>
              <c:numCache>
                <c:formatCode>0.00%</c:formatCode>
                <c:ptCount val="10"/>
                <c:pt idx="0">
                  <c:v>0.22716954775624237</c:v>
                </c:pt>
                <c:pt idx="1">
                  <c:v>0.19067574646411733</c:v>
                </c:pt>
                <c:pt idx="2">
                  <c:v>0.16326174262266457</c:v>
                </c:pt>
                <c:pt idx="3">
                  <c:v>0.13637157324951982</c:v>
                </c:pt>
                <c:pt idx="4">
                  <c:v>0.13148245154531168</c:v>
                </c:pt>
                <c:pt idx="5">
                  <c:v>3.5795355334381003E-2</c:v>
                </c:pt>
                <c:pt idx="6">
                  <c:v>3.457307490832897E-2</c:v>
                </c:pt>
                <c:pt idx="7">
                  <c:v>3.0207787672428845E-2</c:v>
                </c:pt>
                <c:pt idx="8">
                  <c:v>2.7239392352016764E-2</c:v>
                </c:pt>
                <c:pt idx="9">
                  <c:v>2.322332809498865E-2</c:v>
                </c:pt>
              </c:numCache>
            </c:numRef>
          </c:val>
          <c:extLst>
            <c:ext xmlns:c16="http://schemas.microsoft.com/office/drawing/2014/chart" uri="{C3380CC4-5D6E-409C-BE32-E72D297353CC}">
              <c16:uniqueId val="{00000000-9E80-4EFE-AC58-779A9672B322}"/>
            </c:ext>
          </c:extLst>
        </c:ser>
        <c:dLbls>
          <c:dLblPos val="outEnd"/>
          <c:showLegendKey val="0"/>
          <c:showVal val="1"/>
          <c:showCatName val="0"/>
          <c:showSerName val="0"/>
          <c:showPercent val="0"/>
          <c:showBubbleSize val="0"/>
        </c:dLbls>
        <c:gapWidth val="219"/>
        <c:overlap val="-27"/>
        <c:axId val="1469418528"/>
        <c:axId val="1469402208"/>
      </c:barChart>
      <c:catAx>
        <c:axId val="14694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02208"/>
        <c:crosses val="autoZero"/>
        <c:auto val="1"/>
        <c:lblAlgn val="ctr"/>
        <c:lblOffset val="100"/>
        <c:noMultiLvlLbl val="0"/>
      </c:catAx>
      <c:valAx>
        <c:axId val="146940220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6941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Sheet.xlsx]AQI Bucket!AQI_Bucket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AQI_Bucket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'AQI Bucket'!$F$3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'AQI Bucket'!$E$4:$E$7</c:f>
              <c:strCache>
                <c:ptCount val="3"/>
                <c:pt idx="0">
                  <c:v>Poor</c:v>
                </c:pt>
                <c:pt idx="1">
                  <c:v>Severe</c:v>
                </c:pt>
                <c:pt idx="2">
                  <c:v>Very Poor</c:v>
                </c:pt>
              </c:strCache>
            </c:strRef>
          </c:cat>
          <c:val>
            <c:numRef>
              <c:f>'AQI Bucket'!$F$4:$F$7</c:f>
              <c:numCache>
                <c:formatCode>0.00%</c:formatCode>
                <c:ptCount val="3"/>
                <c:pt idx="0">
                  <c:v>0.43076208178438663</c:v>
                </c:pt>
                <c:pt idx="1">
                  <c:v>0.20724907063197026</c:v>
                </c:pt>
                <c:pt idx="2">
                  <c:v>0.36198884758364314</c:v>
                </c:pt>
              </c:numCache>
            </c:numRef>
          </c:val>
          <c:extLst>
            <c:ext xmlns:c16="http://schemas.microsoft.com/office/drawing/2014/chart" uri="{C3380CC4-5D6E-409C-BE32-E72D297353CC}">
              <c16:uniqueId val="{00000007-3254-4B21-8DC1-FB5098C22A7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Sheet.xlsx]MonthWise Pollutant!Monthwise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Pollutant</a:t>
            </a:r>
            <a:r>
              <a:rPr lang="en-IN" b="1" baseline="0"/>
              <a: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'MonthWise Pollutant'!$F$3</c:f>
              <c:strCache>
                <c:ptCount val="1"/>
                <c:pt idx="0">
                  <c:v>Avg PM2_5</c:v>
                </c:pt>
              </c:strCache>
            </c:strRef>
          </c:tx>
          <c:spPr>
            <a:solidFill>
              <a:schemeClr val="accent1"/>
            </a:solidFill>
            <a:ln>
              <a:noFill/>
            </a:ln>
            <a:effectLst/>
          </c:spPr>
          <c:invertIfNegative val="0"/>
          <c:cat>
            <c:strRef>
              <c:f>'MonthWise Pollutant'!$E$4:$E$16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'MonthWise Pollutant'!$F$4:$F$16</c:f>
              <c:numCache>
                <c:formatCode>0.00%</c:formatCode>
                <c:ptCount val="12"/>
                <c:pt idx="0">
                  <c:v>0.79051945919316879</c:v>
                </c:pt>
                <c:pt idx="1">
                  <c:v>0.48836827412556788</c:v>
                </c:pt>
                <c:pt idx="2">
                  <c:v>1.6864634079588374</c:v>
                </c:pt>
                <c:pt idx="3">
                  <c:v>1.2054847008593792</c:v>
                </c:pt>
                <c:pt idx="4">
                  <c:v>1.5360446658273579</c:v>
                </c:pt>
                <c:pt idx="5">
                  <c:v>0.54879851113908806</c:v>
                </c:pt>
                <c:pt idx="6">
                  <c:v>0.64404181947561434</c:v>
                </c:pt>
                <c:pt idx="7">
                  <c:v>0.94372981553451196</c:v>
                </c:pt>
                <c:pt idx="8">
                  <c:v>0.77459083693688768</c:v>
                </c:pt>
                <c:pt idx="9">
                  <c:v>1.7127374240516722</c:v>
                </c:pt>
                <c:pt idx="10">
                  <c:v>1.1044939515025454</c:v>
                </c:pt>
                <c:pt idx="11">
                  <c:v>0.56472713339536917</c:v>
                </c:pt>
              </c:numCache>
            </c:numRef>
          </c:val>
          <c:extLst>
            <c:ext xmlns:c16="http://schemas.microsoft.com/office/drawing/2014/chart" uri="{C3380CC4-5D6E-409C-BE32-E72D297353CC}">
              <c16:uniqueId val="{00000000-42E3-4987-8C82-7CC39351516C}"/>
            </c:ext>
          </c:extLst>
        </c:ser>
        <c:ser>
          <c:idx val="1"/>
          <c:order val="1"/>
          <c:tx>
            <c:strRef>
              <c:f>'MonthWise Pollutant'!$G$3</c:f>
              <c:strCache>
                <c:ptCount val="1"/>
                <c:pt idx="0">
                  <c:v>Avg PM10</c:v>
                </c:pt>
              </c:strCache>
            </c:strRef>
          </c:tx>
          <c:spPr>
            <a:solidFill>
              <a:schemeClr val="accent2"/>
            </a:solidFill>
            <a:ln>
              <a:noFill/>
            </a:ln>
            <a:effectLst/>
          </c:spPr>
          <c:invertIfNegative val="0"/>
          <c:cat>
            <c:strRef>
              <c:f>'MonthWise Pollutant'!$E$4:$E$16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'MonthWise Pollutant'!$G$4:$G$16</c:f>
              <c:numCache>
                <c:formatCode>0.00%</c:formatCode>
                <c:ptCount val="12"/>
                <c:pt idx="0">
                  <c:v>0.9109354498031812</c:v>
                </c:pt>
                <c:pt idx="1">
                  <c:v>0.53112298780682954</c:v>
                </c:pt>
                <c:pt idx="2">
                  <c:v>1.4546036419496273</c:v>
                </c:pt>
                <c:pt idx="3">
                  <c:v>1.3132780746951709</c:v>
                </c:pt>
                <c:pt idx="4">
                  <c:v>1.4278490735110574</c:v>
                </c:pt>
                <c:pt idx="5">
                  <c:v>0.54021186033859259</c:v>
                </c:pt>
                <c:pt idx="6">
                  <c:v>0.74067910519409874</c:v>
                </c:pt>
                <c:pt idx="7">
                  <c:v>1.0353633948859091</c:v>
                </c:pt>
                <c:pt idx="8">
                  <c:v>0.93205747751784185</c:v>
                </c:pt>
                <c:pt idx="9">
                  <c:v>1.4749575959292094</c:v>
                </c:pt>
                <c:pt idx="10">
                  <c:v>1.032803149102314</c:v>
                </c:pt>
                <c:pt idx="11">
                  <c:v>0.60613818926616958</c:v>
                </c:pt>
              </c:numCache>
            </c:numRef>
          </c:val>
          <c:extLst>
            <c:ext xmlns:c16="http://schemas.microsoft.com/office/drawing/2014/chart" uri="{C3380CC4-5D6E-409C-BE32-E72D297353CC}">
              <c16:uniqueId val="{00000001-42E3-4987-8C82-7CC39351516C}"/>
            </c:ext>
          </c:extLst>
        </c:ser>
        <c:dLbls>
          <c:showLegendKey val="0"/>
          <c:showVal val="0"/>
          <c:showCatName val="0"/>
          <c:showSerName val="0"/>
          <c:showPercent val="0"/>
          <c:showBubbleSize val="0"/>
        </c:dLbls>
        <c:gapWidth val="219"/>
        <c:overlap val="-27"/>
        <c:axId val="1469434848"/>
        <c:axId val="1469437728"/>
      </c:barChart>
      <c:catAx>
        <c:axId val="14694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37728"/>
        <c:crosses val="autoZero"/>
        <c:auto val="1"/>
        <c:lblAlgn val="ctr"/>
        <c:lblOffset val="100"/>
        <c:noMultiLvlLbl val="0"/>
      </c:catAx>
      <c:valAx>
        <c:axId val="146943772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6943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Sheet.xlsx]Pollutant Levels!Pollutant_Severity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Pollutant</a:t>
            </a:r>
            <a:r>
              <a:rPr lang="en-US" b="1" baseline="0"/>
              <a:t> Severity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'Pollutant Levels'!$F$3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'Pollutant Levels'!$E$4:$E$14</c:f>
              <c:strCache>
                <c:ptCount val="10"/>
                <c:pt idx="0">
                  <c:v>PM2.5</c:v>
                </c:pt>
                <c:pt idx="1">
                  <c:v>PM10</c:v>
                </c:pt>
                <c:pt idx="2">
                  <c:v>NO2</c:v>
                </c:pt>
                <c:pt idx="3">
                  <c:v>SO2</c:v>
                </c:pt>
                <c:pt idx="4">
                  <c:v>Toluene</c:v>
                </c:pt>
                <c:pt idx="5">
                  <c:v>NOx</c:v>
                </c:pt>
                <c:pt idx="6">
                  <c:v>O3</c:v>
                </c:pt>
                <c:pt idx="7">
                  <c:v>NO</c:v>
                </c:pt>
                <c:pt idx="8">
                  <c:v>Xylene</c:v>
                </c:pt>
                <c:pt idx="9">
                  <c:v>Benzene</c:v>
                </c:pt>
              </c:strCache>
            </c:strRef>
          </c:cat>
          <c:val>
            <c:numRef>
              <c:f>'Pollutant Levels'!$F$4:$F$14</c:f>
              <c:numCache>
                <c:formatCode>0.00%</c:formatCode>
                <c:ptCount val="10"/>
                <c:pt idx="0">
                  <c:v>0.41629297458893871</c:v>
                </c:pt>
                <c:pt idx="1">
                  <c:v>0.31240657698056801</c:v>
                </c:pt>
                <c:pt idx="2">
                  <c:v>0.156203288490284</c:v>
                </c:pt>
                <c:pt idx="3">
                  <c:v>6.5022421524663671E-2</c:v>
                </c:pt>
                <c:pt idx="4">
                  <c:v>2.0179372197309416E-2</c:v>
                </c:pt>
                <c:pt idx="5">
                  <c:v>1.7937219730941704E-2</c:v>
                </c:pt>
                <c:pt idx="6">
                  <c:v>5.9790732436472349E-3</c:v>
                </c:pt>
                <c:pt idx="7">
                  <c:v>4.4843049327354259E-3</c:v>
                </c:pt>
                <c:pt idx="8">
                  <c:v>7.4738415545590436E-4</c:v>
                </c:pt>
                <c:pt idx="9">
                  <c:v>7.4738415545590436E-4</c:v>
                </c:pt>
              </c:numCache>
            </c:numRef>
          </c:val>
          <c:extLst>
            <c:ext xmlns:c16="http://schemas.microsoft.com/office/drawing/2014/chart" uri="{C3380CC4-5D6E-409C-BE32-E72D297353CC}">
              <c16:uniqueId val="{00000000-96B2-4A72-A3CF-8F0F1F4C2F42}"/>
            </c:ext>
          </c:extLst>
        </c:ser>
        <c:dLbls>
          <c:dLblPos val="outEnd"/>
          <c:showLegendKey val="0"/>
          <c:showVal val="1"/>
          <c:showCatName val="0"/>
          <c:showSerName val="0"/>
          <c:showPercent val="0"/>
          <c:showBubbleSize val="0"/>
        </c:dLbls>
        <c:gapWidth val="219"/>
        <c:overlap val="-27"/>
        <c:axId val="1003192016"/>
        <c:axId val="1003189136"/>
      </c:barChart>
      <c:catAx>
        <c:axId val="100319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189136"/>
        <c:crosses val="autoZero"/>
        <c:auto val="1"/>
        <c:lblAlgn val="ctr"/>
        <c:lblOffset val="100"/>
        <c:noMultiLvlLbl val="0"/>
      </c:catAx>
      <c:valAx>
        <c:axId val="100318913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00319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Sheet.xlsx]Station Vs. AQI!Station_Vs_AQI</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Stations Vs AQI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Vs. AQI'!$G$3</c:f>
              <c:strCache>
                <c:ptCount val="1"/>
                <c:pt idx="0">
                  <c:v>Avg AQI</c:v>
                </c:pt>
              </c:strCache>
            </c:strRef>
          </c:tx>
          <c:spPr>
            <a:solidFill>
              <a:schemeClr val="accent1"/>
            </a:solidFill>
            <a:ln>
              <a:noFill/>
            </a:ln>
            <a:effectLst/>
          </c:spPr>
          <c:invertIfNegative val="0"/>
          <c:cat>
            <c:strRef>
              <c:f>'Station Vs. AQI'!$F$4:$F$25</c:f>
              <c:strCache>
                <c:ptCount val="21"/>
                <c:pt idx="0">
                  <c:v>Andhra Pradesh</c:v>
                </c:pt>
                <c:pt idx="1">
                  <c:v>Assam</c:v>
                </c:pt>
                <c:pt idx="2">
                  <c:v>Bihar</c:v>
                </c:pt>
                <c:pt idx="3">
                  <c:v>Chandigarh</c:v>
                </c:pt>
                <c:pt idx="4">
                  <c:v>Delhi</c:v>
                </c:pt>
                <c:pt idx="5">
                  <c:v>Gujarat</c:v>
                </c:pt>
                <c:pt idx="6">
                  <c:v>Haryana</c:v>
                </c:pt>
                <c:pt idx="7">
                  <c:v>Jharkhand</c:v>
                </c:pt>
                <c:pt idx="8">
                  <c:v>Karnataka</c:v>
                </c:pt>
                <c:pt idx="9">
                  <c:v>Kerala</c:v>
                </c:pt>
                <c:pt idx="10">
                  <c:v>Madhya Pradesh</c:v>
                </c:pt>
                <c:pt idx="11">
                  <c:v>Maharashtra</c:v>
                </c:pt>
                <c:pt idx="12">
                  <c:v>Meghalaya</c:v>
                </c:pt>
                <c:pt idx="13">
                  <c:v>Mizoram</c:v>
                </c:pt>
                <c:pt idx="14">
                  <c:v>Odisha</c:v>
                </c:pt>
                <c:pt idx="15">
                  <c:v>Punjab</c:v>
                </c:pt>
                <c:pt idx="16">
                  <c:v>Rajasthan</c:v>
                </c:pt>
                <c:pt idx="17">
                  <c:v>Tamil Nadu</c:v>
                </c:pt>
                <c:pt idx="18">
                  <c:v>Telangana</c:v>
                </c:pt>
                <c:pt idx="19">
                  <c:v>Uttar Pradesh</c:v>
                </c:pt>
                <c:pt idx="20">
                  <c:v>West Bengal</c:v>
                </c:pt>
              </c:strCache>
            </c:strRef>
          </c:cat>
          <c:val>
            <c:numRef>
              <c:f>'Station Vs. AQI'!$G$4:$G$25</c:f>
              <c:numCache>
                <c:formatCode>General</c:formatCode>
                <c:ptCount val="21"/>
                <c:pt idx="0">
                  <c:v>90.12</c:v>
                </c:pt>
                <c:pt idx="1">
                  <c:v>138.16</c:v>
                </c:pt>
                <c:pt idx="2">
                  <c:v>170.77</c:v>
                </c:pt>
                <c:pt idx="3">
                  <c:v>94.91</c:v>
                </c:pt>
                <c:pt idx="4">
                  <c:v>190.04</c:v>
                </c:pt>
                <c:pt idx="5">
                  <c:v>300.22000000000003</c:v>
                </c:pt>
                <c:pt idx="6">
                  <c:v>173.82</c:v>
                </c:pt>
                <c:pt idx="7">
                  <c:v>105.03</c:v>
                </c:pt>
                <c:pt idx="8">
                  <c:v>73.709999999999994</c:v>
                </c:pt>
                <c:pt idx="9">
                  <c:v>74.92</c:v>
                </c:pt>
                <c:pt idx="10">
                  <c:v>127.77</c:v>
                </c:pt>
                <c:pt idx="11">
                  <c:v>72.5</c:v>
                </c:pt>
                <c:pt idx="12">
                  <c:v>35.57</c:v>
                </c:pt>
                <c:pt idx="13">
                  <c:v>34.15</c:v>
                </c:pt>
                <c:pt idx="14">
                  <c:v>122.29</c:v>
                </c:pt>
                <c:pt idx="15">
                  <c:v>110.59</c:v>
                </c:pt>
                <c:pt idx="16">
                  <c:v>131.4</c:v>
                </c:pt>
                <c:pt idx="17">
                  <c:v>84.18</c:v>
                </c:pt>
                <c:pt idx="18">
                  <c:v>80.569999999999993</c:v>
                </c:pt>
                <c:pt idx="19">
                  <c:v>186.15</c:v>
                </c:pt>
                <c:pt idx="20">
                  <c:v>125.58</c:v>
                </c:pt>
              </c:numCache>
            </c:numRef>
          </c:val>
          <c:extLst>
            <c:ext xmlns:c16="http://schemas.microsoft.com/office/drawing/2014/chart" uri="{C3380CC4-5D6E-409C-BE32-E72D297353CC}">
              <c16:uniqueId val="{00000000-7466-4BBE-A58B-43DA1218F990}"/>
            </c:ext>
          </c:extLst>
        </c:ser>
        <c:ser>
          <c:idx val="1"/>
          <c:order val="1"/>
          <c:tx>
            <c:strRef>
              <c:f>'Station Vs. AQI'!$H$3</c:f>
              <c:strCache>
                <c:ptCount val="1"/>
                <c:pt idx="0">
                  <c:v>Total Stations</c:v>
                </c:pt>
              </c:strCache>
            </c:strRef>
          </c:tx>
          <c:spPr>
            <a:solidFill>
              <a:schemeClr val="accent2"/>
            </a:solidFill>
            <a:ln>
              <a:noFill/>
            </a:ln>
            <a:effectLst/>
          </c:spPr>
          <c:invertIfNegative val="0"/>
          <c:cat>
            <c:strRef>
              <c:f>'Station Vs. AQI'!$F$4:$F$25</c:f>
              <c:strCache>
                <c:ptCount val="21"/>
                <c:pt idx="0">
                  <c:v>Andhra Pradesh</c:v>
                </c:pt>
                <c:pt idx="1">
                  <c:v>Assam</c:v>
                </c:pt>
                <c:pt idx="2">
                  <c:v>Bihar</c:v>
                </c:pt>
                <c:pt idx="3">
                  <c:v>Chandigarh</c:v>
                </c:pt>
                <c:pt idx="4">
                  <c:v>Delhi</c:v>
                </c:pt>
                <c:pt idx="5">
                  <c:v>Gujarat</c:v>
                </c:pt>
                <c:pt idx="6">
                  <c:v>Haryana</c:v>
                </c:pt>
                <c:pt idx="7">
                  <c:v>Jharkhand</c:v>
                </c:pt>
                <c:pt idx="8">
                  <c:v>Karnataka</c:v>
                </c:pt>
                <c:pt idx="9">
                  <c:v>Kerala</c:v>
                </c:pt>
                <c:pt idx="10">
                  <c:v>Madhya Pradesh</c:v>
                </c:pt>
                <c:pt idx="11">
                  <c:v>Maharashtra</c:v>
                </c:pt>
                <c:pt idx="12">
                  <c:v>Meghalaya</c:v>
                </c:pt>
                <c:pt idx="13">
                  <c:v>Mizoram</c:v>
                </c:pt>
                <c:pt idx="14">
                  <c:v>Odisha</c:v>
                </c:pt>
                <c:pt idx="15">
                  <c:v>Punjab</c:v>
                </c:pt>
                <c:pt idx="16">
                  <c:v>Rajasthan</c:v>
                </c:pt>
                <c:pt idx="17">
                  <c:v>Tamil Nadu</c:v>
                </c:pt>
                <c:pt idx="18">
                  <c:v>Telangana</c:v>
                </c:pt>
                <c:pt idx="19">
                  <c:v>Uttar Pradesh</c:v>
                </c:pt>
                <c:pt idx="20">
                  <c:v>West Bengal</c:v>
                </c:pt>
              </c:strCache>
            </c:strRef>
          </c:cat>
          <c:val>
            <c:numRef>
              <c:f>'Station Vs. AQI'!$H$4:$H$25</c:f>
              <c:numCache>
                <c:formatCode>General</c:formatCode>
                <c:ptCount val="21"/>
                <c:pt idx="0">
                  <c:v>2</c:v>
                </c:pt>
                <c:pt idx="1">
                  <c:v>1</c:v>
                </c:pt>
                <c:pt idx="2">
                  <c:v>6</c:v>
                </c:pt>
                <c:pt idx="3">
                  <c:v>1</c:v>
                </c:pt>
                <c:pt idx="4">
                  <c:v>38</c:v>
                </c:pt>
                <c:pt idx="5">
                  <c:v>1</c:v>
                </c:pt>
                <c:pt idx="6">
                  <c:v>4</c:v>
                </c:pt>
                <c:pt idx="7">
                  <c:v>1</c:v>
                </c:pt>
                <c:pt idx="8">
                  <c:v>10</c:v>
                </c:pt>
                <c:pt idx="9">
                  <c:v>4</c:v>
                </c:pt>
                <c:pt idx="10">
                  <c:v>1</c:v>
                </c:pt>
                <c:pt idx="11">
                  <c:v>10</c:v>
                </c:pt>
                <c:pt idx="12">
                  <c:v>1</c:v>
                </c:pt>
                <c:pt idx="13">
                  <c:v>1</c:v>
                </c:pt>
                <c:pt idx="14">
                  <c:v>2</c:v>
                </c:pt>
                <c:pt idx="15">
                  <c:v>1</c:v>
                </c:pt>
                <c:pt idx="16">
                  <c:v>3</c:v>
                </c:pt>
                <c:pt idx="17">
                  <c:v>5</c:v>
                </c:pt>
                <c:pt idx="18">
                  <c:v>6</c:v>
                </c:pt>
                <c:pt idx="19">
                  <c:v>5</c:v>
                </c:pt>
                <c:pt idx="20">
                  <c:v>7</c:v>
                </c:pt>
              </c:numCache>
            </c:numRef>
          </c:val>
          <c:extLst>
            <c:ext xmlns:c16="http://schemas.microsoft.com/office/drawing/2014/chart" uri="{C3380CC4-5D6E-409C-BE32-E72D297353CC}">
              <c16:uniqueId val="{00000001-7466-4BBE-A58B-43DA1218F990}"/>
            </c:ext>
          </c:extLst>
        </c:ser>
        <c:dLbls>
          <c:showLegendKey val="0"/>
          <c:showVal val="0"/>
          <c:showCatName val="0"/>
          <c:showSerName val="0"/>
          <c:showPercent val="0"/>
          <c:showBubbleSize val="0"/>
        </c:dLbls>
        <c:gapWidth val="182"/>
        <c:axId val="1469322528"/>
        <c:axId val="1469315328"/>
      </c:barChart>
      <c:catAx>
        <c:axId val="146932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15328"/>
        <c:crosses val="autoZero"/>
        <c:auto val="1"/>
        <c:lblAlgn val="ctr"/>
        <c:lblOffset val="100"/>
        <c:noMultiLvlLbl val="0"/>
      </c:catAx>
      <c:valAx>
        <c:axId val="1469315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6932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Sheet.xlsx]City Wise AQI!City_AQI_Trend</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City</a:t>
            </a:r>
            <a:r>
              <a:rPr lang="en-IN" b="1" baseline="0"/>
              <a:t> AQI Trends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'City Wise AQI'!$H$2:$H$3</c:f>
              <c:strCache>
                <c:ptCount val="1"/>
                <c:pt idx="0">
                  <c:v>Ahmedabad</c:v>
                </c:pt>
              </c:strCache>
            </c:strRef>
          </c:tx>
          <c:spPr>
            <a:ln w="28575" cap="rnd">
              <a:solidFill>
                <a:schemeClr val="accent1"/>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AQI'!$H$4:$H$10</c:f>
              <c:numCache>
                <c:formatCode>0</c:formatCode>
                <c:ptCount val="6"/>
                <c:pt idx="0">
                  <c:v>267.25490000000002</c:v>
                </c:pt>
                <c:pt idx="1">
                  <c:v>285.74020000000002</c:v>
                </c:pt>
                <c:pt idx="2">
                  <c:v>528.15070000000003</c:v>
                </c:pt>
                <c:pt idx="3">
                  <c:v>611.97799999999995</c:v>
                </c:pt>
                <c:pt idx="4">
                  <c:v>504.87779999999998</c:v>
                </c:pt>
                <c:pt idx="5">
                  <c:v>232.80869999999999</c:v>
                </c:pt>
              </c:numCache>
            </c:numRef>
          </c:val>
          <c:smooth val="0"/>
          <c:extLst>
            <c:ext xmlns:c16="http://schemas.microsoft.com/office/drawing/2014/chart" uri="{C3380CC4-5D6E-409C-BE32-E72D297353CC}">
              <c16:uniqueId val="{00000000-1608-4586-9DCB-743CAA9228EE}"/>
            </c:ext>
          </c:extLst>
        </c:ser>
        <c:ser>
          <c:idx val="1"/>
          <c:order val="1"/>
          <c:tx>
            <c:strRef>
              <c:f>'City Wise AQI'!$I$2:$I$3</c:f>
              <c:strCache>
                <c:ptCount val="1"/>
                <c:pt idx="0">
                  <c:v>Aizawl</c:v>
                </c:pt>
              </c:strCache>
            </c:strRef>
          </c:tx>
          <c:spPr>
            <a:ln w="28575" cap="rnd">
              <a:solidFill>
                <a:schemeClr val="accent2"/>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AQI'!$I$4:$I$10</c:f>
              <c:numCache>
                <c:formatCode>0</c:formatCode>
                <c:ptCount val="6"/>
                <c:pt idx="5">
                  <c:v>34.150399999999998</c:v>
                </c:pt>
              </c:numCache>
            </c:numRef>
          </c:val>
          <c:smooth val="0"/>
          <c:extLst>
            <c:ext xmlns:c16="http://schemas.microsoft.com/office/drawing/2014/chart" uri="{C3380CC4-5D6E-409C-BE32-E72D297353CC}">
              <c16:uniqueId val="{0000001B-1608-4586-9DCB-743CAA9228EE}"/>
            </c:ext>
          </c:extLst>
        </c:ser>
        <c:ser>
          <c:idx val="2"/>
          <c:order val="2"/>
          <c:tx>
            <c:strRef>
              <c:f>'City Wise AQI'!$J$2:$J$3</c:f>
              <c:strCache>
                <c:ptCount val="1"/>
                <c:pt idx="0">
                  <c:v>Amaravati</c:v>
                </c:pt>
              </c:strCache>
            </c:strRef>
          </c:tx>
          <c:spPr>
            <a:ln w="28575" cap="rnd">
              <a:solidFill>
                <a:schemeClr val="accent3"/>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AQI'!$J$4:$J$10</c:f>
              <c:numCache>
                <c:formatCode>0</c:formatCode>
                <c:ptCount val="6"/>
                <c:pt idx="2">
                  <c:v>187.44739999999999</c:v>
                </c:pt>
                <c:pt idx="3">
                  <c:v>88.363100000000003</c:v>
                </c:pt>
                <c:pt idx="4">
                  <c:v>95.698099999999997</c:v>
                </c:pt>
                <c:pt idx="5">
                  <c:v>59.879800000000003</c:v>
                </c:pt>
              </c:numCache>
            </c:numRef>
          </c:val>
          <c:smooth val="0"/>
          <c:extLst>
            <c:ext xmlns:c16="http://schemas.microsoft.com/office/drawing/2014/chart" uri="{C3380CC4-5D6E-409C-BE32-E72D297353CC}">
              <c16:uniqueId val="{0000001C-1608-4586-9DCB-743CAA9228EE}"/>
            </c:ext>
          </c:extLst>
        </c:ser>
        <c:ser>
          <c:idx val="3"/>
          <c:order val="3"/>
          <c:tx>
            <c:strRef>
              <c:f>'City Wise AQI'!$K$2:$K$3</c:f>
              <c:strCache>
                <c:ptCount val="1"/>
                <c:pt idx="0">
                  <c:v>Amritsar</c:v>
                </c:pt>
              </c:strCache>
            </c:strRef>
          </c:tx>
          <c:spPr>
            <a:ln w="28575" cap="rnd">
              <a:solidFill>
                <a:schemeClr val="accent4"/>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AQI'!$K$4:$K$10</c:f>
              <c:numCache>
                <c:formatCode>0</c:formatCode>
                <c:ptCount val="6"/>
                <c:pt idx="2">
                  <c:v>133.0608</c:v>
                </c:pt>
                <c:pt idx="3">
                  <c:v>111.8764</c:v>
                </c:pt>
                <c:pt idx="4">
                  <c:v>108.6</c:v>
                </c:pt>
                <c:pt idx="5">
                  <c:v>91.4011</c:v>
                </c:pt>
              </c:numCache>
            </c:numRef>
          </c:val>
          <c:smooth val="0"/>
          <c:extLst>
            <c:ext xmlns:c16="http://schemas.microsoft.com/office/drawing/2014/chart" uri="{C3380CC4-5D6E-409C-BE32-E72D297353CC}">
              <c16:uniqueId val="{0000001D-1608-4586-9DCB-743CAA9228EE}"/>
            </c:ext>
          </c:extLst>
        </c:ser>
        <c:ser>
          <c:idx val="4"/>
          <c:order val="4"/>
          <c:tx>
            <c:strRef>
              <c:f>'City Wise AQI'!$L$2:$L$3</c:f>
              <c:strCache>
                <c:ptCount val="1"/>
                <c:pt idx="0">
                  <c:v>Bengaluru</c:v>
                </c:pt>
              </c:strCache>
            </c:strRef>
          </c:tx>
          <c:spPr>
            <a:ln w="28575" cap="rnd">
              <a:solidFill>
                <a:schemeClr val="accent5"/>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AQI'!$L$4:$L$10</c:f>
              <c:numCache>
                <c:formatCode>0</c:formatCode>
                <c:ptCount val="6"/>
                <c:pt idx="0">
                  <c:v>88.208200000000005</c:v>
                </c:pt>
                <c:pt idx="1">
                  <c:v>101.5342</c:v>
                </c:pt>
                <c:pt idx="2">
                  <c:v>86.882199999999997</c:v>
                </c:pt>
                <c:pt idx="3">
                  <c:v>85.361599999999996</c:v>
                </c:pt>
                <c:pt idx="4">
                  <c:v>91.602699999999999</c:v>
                </c:pt>
                <c:pt idx="5">
                  <c:v>79.715800000000002</c:v>
                </c:pt>
              </c:numCache>
            </c:numRef>
          </c:val>
          <c:smooth val="0"/>
          <c:extLst>
            <c:ext xmlns:c16="http://schemas.microsoft.com/office/drawing/2014/chart" uri="{C3380CC4-5D6E-409C-BE32-E72D297353CC}">
              <c16:uniqueId val="{0000001E-1608-4586-9DCB-743CAA9228EE}"/>
            </c:ext>
          </c:extLst>
        </c:ser>
        <c:ser>
          <c:idx val="5"/>
          <c:order val="5"/>
          <c:tx>
            <c:strRef>
              <c:f>'City Wise AQI'!$M$2:$M$3</c:f>
              <c:strCache>
                <c:ptCount val="1"/>
                <c:pt idx="0">
                  <c:v>Bhopal</c:v>
                </c:pt>
              </c:strCache>
            </c:strRef>
          </c:tx>
          <c:spPr>
            <a:ln w="28575" cap="rnd">
              <a:solidFill>
                <a:schemeClr val="accent6"/>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AQI'!$M$4:$M$10</c:f>
              <c:numCache>
                <c:formatCode>0</c:formatCode>
                <c:ptCount val="6"/>
                <c:pt idx="4">
                  <c:v>161.07550000000001</c:v>
                </c:pt>
                <c:pt idx="5">
                  <c:v>114.092</c:v>
                </c:pt>
              </c:numCache>
            </c:numRef>
          </c:val>
          <c:smooth val="0"/>
          <c:extLst>
            <c:ext xmlns:c16="http://schemas.microsoft.com/office/drawing/2014/chart" uri="{C3380CC4-5D6E-409C-BE32-E72D297353CC}">
              <c16:uniqueId val="{0000001F-1608-4586-9DCB-743CAA9228EE}"/>
            </c:ext>
          </c:extLst>
        </c:ser>
        <c:ser>
          <c:idx val="6"/>
          <c:order val="6"/>
          <c:tx>
            <c:strRef>
              <c:f>'City Wise AQI'!$N$2:$N$3</c:f>
              <c:strCache>
                <c:ptCount val="1"/>
                <c:pt idx="0">
                  <c:v>Brajrajnagar</c:v>
                </c:pt>
              </c:strCache>
            </c:strRef>
          </c:tx>
          <c:spPr>
            <a:ln w="28575" cap="rnd">
              <a:solidFill>
                <a:schemeClr val="accent1">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AQI'!$N$4:$N$10</c:f>
              <c:numCache>
                <c:formatCode>0</c:formatCode>
                <c:ptCount val="6"/>
                <c:pt idx="2">
                  <c:v>123.8</c:v>
                </c:pt>
                <c:pt idx="3">
                  <c:v>149.81039999999999</c:v>
                </c:pt>
                <c:pt idx="4">
                  <c:v>135.3683</c:v>
                </c:pt>
                <c:pt idx="5">
                  <c:v>108.4314</c:v>
                </c:pt>
              </c:numCache>
            </c:numRef>
          </c:val>
          <c:smooth val="0"/>
          <c:extLst>
            <c:ext xmlns:c16="http://schemas.microsoft.com/office/drawing/2014/chart" uri="{C3380CC4-5D6E-409C-BE32-E72D297353CC}">
              <c16:uniqueId val="{00000020-1608-4586-9DCB-743CAA9228EE}"/>
            </c:ext>
          </c:extLst>
        </c:ser>
        <c:ser>
          <c:idx val="7"/>
          <c:order val="7"/>
          <c:tx>
            <c:strRef>
              <c:f>'City Wise AQI'!$O$2:$O$3</c:f>
              <c:strCache>
                <c:ptCount val="1"/>
                <c:pt idx="0">
                  <c:v>Chandigarh</c:v>
                </c:pt>
              </c:strCache>
            </c:strRef>
          </c:tx>
          <c:spPr>
            <a:ln w="28575" cap="rnd">
              <a:solidFill>
                <a:schemeClr val="accent2">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AQI'!$O$4:$O$10</c:f>
              <c:numCache>
                <c:formatCode>0</c:formatCode>
                <c:ptCount val="6"/>
                <c:pt idx="4">
                  <c:v>131.06610000000001</c:v>
                </c:pt>
                <c:pt idx="5">
                  <c:v>71.005499999999998</c:v>
                </c:pt>
              </c:numCache>
            </c:numRef>
          </c:val>
          <c:smooth val="0"/>
          <c:extLst>
            <c:ext xmlns:c16="http://schemas.microsoft.com/office/drawing/2014/chart" uri="{C3380CC4-5D6E-409C-BE32-E72D297353CC}">
              <c16:uniqueId val="{00000021-1608-4586-9DCB-743CAA9228EE}"/>
            </c:ext>
          </c:extLst>
        </c:ser>
        <c:ser>
          <c:idx val="8"/>
          <c:order val="8"/>
          <c:tx>
            <c:strRef>
              <c:f>'City Wise AQI'!$P$2:$P$3</c:f>
              <c:strCache>
                <c:ptCount val="1"/>
                <c:pt idx="0">
                  <c:v>Chennai</c:v>
                </c:pt>
              </c:strCache>
            </c:strRef>
          </c:tx>
          <c:spPr>
            <a:ln w="28575" cap="rnd">
              <a:solidFill>
                <a:schemeClr val="accent3">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AQI'!$P$4:$P$10</c:f>
              <c:numCache>
                <c:formatCode>0</c:formatCode>
                <c:ptCount val="6"/>
                <c:pt idx="0">
                  <c:v>112.7824</c:v>
                </c:pt>
                <c:pt idx="1">
                  <c:v>136.1206</c:v>
                </c:pt>
                <c:pt idx="2">
                  <c:v>103.9614</c:v>
                </c:pt>
                <c:pt idx="3">
                  <c:v>105.49039999999999</c:v>
                </c:pt>
                <c:pt idx="4">
                  <c:v>102.9425</c:v>
                </c:pt>
                <c:pt idx="5">
                  <c:v>80.251400000000004</c:v>
                </c:pt>
              </c:numCache>
            </c:numRef>
          </c:val>
          <c:smooth val="0"/>
          <c:extLst>
            <c:ext xmlns:c16="http://schemas.microsoft.com/office/drawing/2014/chart" uri="{C3380CC4-5D6E-409C-BE32-E72D297353CC}">
              <c16:uniqueId val="{00000022-1608-4586-9DCB-743CAA9228EE}"/>
            </c:ext>
          </c:extLst>
        </c:ser>
        <c:ser>
          <c:idx val="9"/>
          <c:order val="9"/>
          <c:tx>
            <c:strRef>
              <c:f>'City Wise AQI'!$Q$2:$Q$3</c:f>
              <c:strCache>
                <c:ptCount val="1"/>
                <c:pt idx="0">
                  <c:v>Coimbatore</c:v>
                </c:pt>
              </c:strCache>
            </c:strRef>
          </c:tx>
          <c:spPr>
            <a:ln w="28575" cap="rnd">
              <a:solidFill>
                <a:schemeClr val="accent4">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AQI'!$Q$4:$Q$10</c:f>
              <c:numCache>
                <c:formatCode>0</c:formatCode>
                <c:ptCount val="6"/>
                <c:pt idx="4">
                  <c:v>71.334999999999994</c:v>
                </c:pt>
                <c:pt idx="5">
                  <c:v>58.779000000000003</c:v>
                </c:pt>
              </c:numCache>
            </c:numRef>
          </c:val>
          <c:smooth val="0"/>
          <c:extLst>
            <c:ext xmlns:c16="http://schemas.microsoft.com/office/drawing/2014/chart" uri="{C3380CC4-5D6E-409C-BE32-E72D297353CC}">
              <c16:uniqueId val="{00000023-1608-4586-9DCB-743CAA9228EE}"/>
            </c:ext>
          </c:extLst>
        </c:ser>
        <c:ser>
          <c:idx val="10"/>
          <c:order val="10"/>
          <c:tx>
            <c:strRef>
              <c:f>'City Wise AQI'!$R$2:$R$3</c:f>
              <c:strCache>
                <c:ptCount val="1"/>
                <c:pt idx="0">
                  <c:v>Delhi</c:v>
                </c:pt>
              </c:strCache>
            </c:strRef>
          </c:tx>
          <c:spPr>
            <a:ln w="28575" cap="rnd">
              <a:solidFill>
                <a:schemeClr val="accent5">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AQI'!$R$4:$R$10</c:f>
              <c:numCache>
                <c:formatCode>0</c:formatCode>
                <c:ptCount val="6"/>
                <c:pt idx="0">
                  <c:v>297.0247</c:v>
                </c:pt>
                <c:pt idx="1">
                  <c:v>300.54640000000001</c:v>
                </c:pt>
                <c:pt idx="2">
                  <c:v>251.08519999999999</c:v>
                </c:pt>
                <c:pt idx="3">
                  <c:v>249.15889999999999</c:v>
                </c:pt>
                <c:pt idx="4">
                  <c:v>232.10409999999999</c:v>
                </c:pt>
                <c:pt idx="5">
                  <c:v>181.6721</c:v>
                </c:pt>
              </c:numCache>
            </c:numRef>
          </c:val>
          <c:smooth val="0"/>
          <c:extLst>
            <c:ext xmlns:c16="http://schemas.microsoft.com/office/drawing/2014/chart" uri="{C3380CC4-5D6E-409C-BE32-E72D297353CC}">
              <c16:uniqueId val="{00000024-1608-4586-9DCB-743CAA9228EE}"/>
            </c:ext>
          </c:extLst>
        </c:ser>
        <c:ser>
          <c:idx val="11"/>
          <c:order val="11"/>
          <c:tx>
            <c:strRef>
              <c:f>'City Wise AQI'!$S$2:$S$3</c:f>
              <c:strCache>
                <c:ptCount val="1"/>
                <c:pt idx="0">
                  <c:v>Ernakulam</c:v>
                </c:pt>
              </c:strCache>
            </c:strRef>
          </c:tx>
          <c:spPr>
            <a:ln w="28575" cap="rnd">
              <a:solidFill>
                <a:schemeClr val="accent6">
                  <a:lumMod val="6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AQI'!$S$4:$S$10</c:f>
              <c:numCache>
                <c:formatCode>0</c:formatCode>
                <c:ptCount val="6"/>
                <c:pt idx="5">
                  <c:v>88.874200000000002</c:v>
                </c:pt>
              </c:numCache>
            </c:numRef>
          </c:val>
          <c:smooth val="0"/>
          <c:extLst>
            <c:ext xmlns:c16="http://schemas.microsoft.com/office/drawing/2014/chart" uri="{C3380CC4-5D6E-409C-BE32-E72D297353CC}">
              <c16:uniqueId val="{00000025-1608-4586-9DCB-743CAA9228EE}"/>
            </c:ext>
          </c:extLst>
        </c:ser>
        <c:ser>
          <c:idx val="12"/>
          <c:order val="12"/>
          <c:tx>
            <c:strRef>
              <c:f>'City Wise AQI'!$T$2:$T$3</c:f>
              <c:strCache>
                <c:ptCount val="1"/>
                <c:pt idx="0">
                  <c:v>Gurugram</c:v>
                </c:pt>
              </c:strCache>
            </c:strRef>
          </c:tx>
          <c:spPr>
            <a:ln w="28575" cap="rnd">
              <a:solidFill>
                <a:schemeClr val="accent1">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AQI'!$T$4:$T$10</c:f>
              <c:numCache>
                <c:formatCode>0</c:formatCode>
                <c:ptCount val="6"/>
                <c:pt idx="1">
                  <c:v>166.8665</c:v>
                </c:pt>
                <c:pt idx="2">
                  <c:v>260.18610000000001</c:v>
                </c:pt>
                <c:pt idx="3">
                  <c:v>219.3168</c:v>
                </c:pt>
                <c:pt idx="4">
                  <c:v>194.68770000000001</c:v>
                </c:pt>
                <c:pt idx="5">
                  <c:v>158.6557</c:v>
                </c:pt>
              </c:numCache>
            </c:numRef>
          </c:val>
          <c:smooth val="0"/>
          <c:extLst>
            <c:ext xmlns:c16="http://schemas.microsoft.com/office/drawing/2014/chart" uri="{C3380CC4-5D6E-409C-BE32-E72D297353CC}">
              <c16:uniqueId val="{00000026-1608-4586-9DCB-743CAA9228EE}"/>
            </c:ext>
          </c:extLst>
        </c:ser>
        <c:ser>
          <c:idx val="13"/>
          <c:order val="13"/>
          <c:tx>
            <c:strRef>
              <c:f>'City Wise AQI'!$U$2:$U$3</c:f>
              <c:strCache>
                <c:ptCount val="1"/>
                <c:pt idx="0">
                  <c:v>Guwahati</c:v>
                </c:pt>
              </c:strCache>
            </c:strRef>
          </c:tx>
          <c:spPr>
            <a:ln w="28575" cap="rnd">
              <a:solidFill>
                <a:schemeClr val="accent2">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AQI'!$U$4:$U$10</c:f>
              <c:numCache>
                <c:formatCode>0</c:formatCode>
                <c:ptCount val="6"/>
                <c:pt idx="4">
                  <c:v>124.76179999999999</c:v>
                </c:pt>
                <c:pt idx="5">
                  <c:v>161.50819999999999</c:v>
                </c:pt>
              </c:numCache>
            </c:numRef>
          </c:val>
          <c:smooth val="0"/>
          <c:extLst>
            <c:ext xmlns:c16="http://schemas.microsoft.com/office/drawing/2014/chart" uri="{C3380CC4-5D6E-409C-BE32-E72D297353CC}">
              <c16:uniqueId val="{00000027-1608-4586-9DCB-743CAA9228EE}"/>
            </c:ext>
          </c:extLst>
        </c:ser>
        <c:ser>
          <c:idx val="14"/>
          <c:order val="14"/>
          <c:tx>
            <c:strRef>
              <c:f>'City Wise AQI'!$V$2:$V$3</c:f>
              <c:strCache>
                <c:ptCount val="1"/>
                <c:pt idx="0">
                  <c:v>Hyderabad</c:v>
                </c:pt>
              </c:strCache>
            </c:strRef>
          </c:tx>
          <c:spPr>
            <a:ln w="28575" cap="rnd">
              <a:solidFill>
                <a:schemeClr val="accent3">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AQI'!$V$4:$V$10</c:f>
              <c:numCache>
                <c:formatCode>0</c:formatCode>
                <c:ptCount val="6"/>
                <c:pt idx="0">
                  <c:v>108.36109999999999</c:v>
                </c:pt>
                <c:pt idx="1">
                  <c:v>121.35939999999999</c:v>
                </c:pt>
                <c:pt idx="2">
                  <c:v>110.17529999999999</c:v>
                </c:pt>
                <c:pt idx="3">
                  <c:v>97.556200000000004</c:v>
                </c:pt>
                <c:pt idx="4">
                  <c:v>93.980800000000002</c:v>
                </c:pt>
                <c:pt idx="5">
                  <c:v>78.174899999999994</c:v>
                </c:pt>
              </c:numCache>
            </c:numRef>
          </c:val>
          <c:smooth val="0"/>
          <c:extLst>
            <c:ext xmlns:c16="http://schemas.microsoft.com/office/drawing/2014/chart" uri="{C3380CC4-5D6E-409C-BE32-E72D297353CC}">
              <c16:uniqueId val="{00000028-1608-4586-9DCB-743CAA9228EE}"/>
            </c:ext>
          </c:extLst>
        </c:ser>
        <c:ser>
          <c:idx val="15"/>
          <c:order val="15"/>
          <c:tx>
            <c:strRef>
              <c:f>'City Wise AQI'!$W$2:$W$3</c:f>
              <c:strCache>
                <c:ptCount val="1"/>
                <c:pt idx="0">
                  <c:v>Jaipur</c:v>
                </c:pt>
              </c:strCache>
            </c:strRef>
          </c:tx>
          <c:spPr>
            <a:ln w="28575" cap="rnd">
              <a:solidFill>
                <a:schemeClr val="accent4">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AQI'!$W$4:$W$10</c:f>
              <c:numCache>
                <c:formatCode>0</c:formatCode>
                <c:ptCount val="6"/>
                <c:pt idx="2">
                  <c:v>147.96340000000001</c:v>
                </c:pt>
                <c:pt idx="3">
                  <c:v>150.0274</c:v>
                </c:pt>
                <c:pt idx="4">
                  <c:v>120.5123</c:v>
                </c:pt>
                <c:pt idx="5">
                  <c:v>105.1202</c:v>
                </c:pt>
              </c:numCache>
            </c:numRef>
          </c:val>
          <c:smooth val="0"/>
          <c:extLst>
            <c:ext xmlns:c16="http://schemas.microsoft.com/office/drawing/2014/chart" uri="{C3380CC4-5D6E-409C-BE32-E72D297353CC}">
              <c16:uniqueId val="{00000034-1608-4586-9DCB-743CAA9228EE}"/>
            </c:ext>
          </c:extLst>
        </c:ser>
        <c:ser>
          <c:idx val="16"/>
          <c:order val="16"/>
          <c:tx>
            <c:strRef>
              <c:f>'City Wise AQI'!$X$2:$X$3</c:f>
              <c:strCache>
                <c:ptCount val="1"/>
                <c:pt idx="0">
                  <c:v>Jorapokhar</c:v>
                </c:pt>
              </c:strCache>
            </c:strRef>
          </c:tx>
          <c:spPr>
            <a:ln w="28575" cap="rnd">
              <a:solidFill>
                <a:schemeClr val="accent5">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AQI'!$X$4:$X$10</c:f>
              <c:numCache>
                <c:formatCode>0</c:formatCode>
                <c:ptCount val="6"/>
                <c:pt idx="2">
                  <c:v>63.740299999999998</c:v>
                </c:pt>
                <c:pt idx="3">
                  <c:v>155.49629999999999</c:v>
                </c:pt>
                <c:pt idx="4">
                  <c:v>147.8297</c:v>
                </c:pt>
                <c:pt idx="5">
                  <c:v>129.3681</c:v>
                </c:pt>
              </c:numCache>
            </c:numRef>
          </c:val>
          <c:smooth val="0"/>
          <c:extLst>
            <c:ext xmlns:c16="http://schemas.microsoft.com/office/drawing/2014/chart" uri="{C3380CC4-5D6E-409C-BE32-E72D297353CC}">
              <c16:uniqueId val="{00000035-1608-4586-9DCB-743CAA9228EE}"/>
            </c:ext>
          </c:extLst>
        </c:ser>
        <c:ser>
          <c:idx val="17"/>
          <c:order val="17"/>
          <c:tx>
            <c:strRef>
              <c:f>'City Wise AQI'!$Y$2:$Y$3</c:f>
              <c:strCache>
                <c:ptCount val="1"/>
                <c:pt idx="0">
                  <c:v>Kochi</c:v>
                </c:pt>
              </c:strCache>
            </c:strRef>
          </c:tx>
          <c:spPr>
            <a:ln w="28575" cap="rnd">
              <a:solidFill>
                <a:schemeClr val="accent6">
                  <a:lumMod val="80000"/>
                  <a:lumOff val="2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AQI'!$Y$4:$Y$10</c:f>
              <c:numCache>
                <c:formatCode>0</c:formatCode>
                <c:ptCount val="6"/>
                <c:pt idx="5">
                  <c:v>101.7099</c:v>
                </c:pt>
              </c:numCache>
            </c:numRef>
          </c:val>
          <c:smooth val="0"/>
          <c:extLst>
            <c:ext xmlns:c16="http://schemas.microsoft.com/office/drawing/2014/chart" uri="{C3380CC4-5D6E-409C-BE32-E72D297353CC}">
              <c16:uniqueId val="{00000036-1608-4586-9DCB-743CAA9228EE}"/>
            </c:ext>
          </c:extLst>
        </c:ser>
        <c:ser>
          <c:idx val="18"/>
          <c:order val="18"/>
          <c:tx>
            <c:strRef>
              <c:f>'City Wise AQI'!$Z$2:$Z$3</c:f>
              <c:strCache>
                <c:ptCount val="1"/>
                <c:pt idx="0">
                  <c:v>Kolkata</c:v>
                </c:pt>
              </c:strCache>
            </c:strRef>
          </c:tx>
          <c:spPr>
            <a:ln w="28575" cap="rnd">
              <a:solidFill>
                <a:schemeClr val="accent1">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AQI'!$Z$4:$Z$10</c:f>
              <c:numCache>
                <c:formatCode>0</c:formatCode>
                <c:ptCount val="6"/>
                <c:pt idx="3">
                  <c:v>120.282</c:v>
                </c:pt>
                <c:pt idx="4">
                  <c:v>143.90960000000001</c:v>
                </c:pt>
                <c:pt idx="5">
                  <c:v>117.29510000000001</c:v>
                </c:pt>
              </c:numCache>
            </c:numRef>
          </c:val>
          <c:smooth val="0"/>
          <c:extLst>
            <c:ext xmlns:c16="http://schemas.microsoft.com/office/drawing/2014/chart" uri="{C3380CC4-5D6E-409C-BE32-E72D297353CC}">
              <c16:uniqueId val="{0000003F-1608-4586-9DCB-743CAA9228EE}"/>
            </c:ext>
          </c:extLst>
        </c:ser>
        <c:ser>
          <c:idx val="19"/>
          <c:order val="19"/>
          <c:tx>
            <c:strRef>
              <c:f>'City Wise AQI'!$AA$2:$AA$3</c:f>
              <c:strCache>
                <c:ptCount val="1"/>
                <c:pt idx="0">
                  <c:v>Lucknow</c:v>
                </c:pt>
              </c:strCache>
            </c:strRef>
          </c:tx>
          <c:spPr>
            <a:ln w="28575" cap="rnd">
              <a:solidFill>
                <a:schemeClr val="accent2">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AQI'!$AA$4:$AA$10</c:f>
              <c:numCache>
                <c:formatCode>0</c:formatCode>
                <c:ptCount val="6"/>
                <c:pt idx="0">
                  <c:v>157.3562</c:v>
                </c:pt>
                <c:pt idx="1">
                  <c:v>231.8657</c:v>
                </c:pt>
                <c:pt idx="2">
                  <c:v>236.96690000000001</c:v>
                </c:pt>
                <c:pt idx="3">
                  <c:v>233.77260000000001</c:v>
                </c:pt>
                <c:pt idx="4">
                  <c:v>202.5616</c:v>
                </c:pt>
                <c:pt idx="5">
                  <c:v>157.12569999999999</c:v>
                </c:pt>
              </c:numCache>
            </c:numRef>
          </c:val>
          <c:smooth val="0"/>
          <c:extLst>
            <c:ext xmlns:c16="http://schemas.microsoft.com/office/drawing/2014/chart" uri="{C3380CC4-5D6E-409C-BE32-E72D297353CC}">
              <c16:uniqueId val="{00000040-1608-4586-9DCB-743CAA9228EE}"/>
            </c:ext>
          </c:extLst>
        </c:ser>
        <c:ser>
          <c:idx val="20"/>
          <c:order val="20"/>
          <c:tx>
            <c:strRef>
              <c:f>'City Wise AQI'!$AB$2:$AB$3</c:f>
              <c:strCache>
                <c:ptCount val="1"/>
                <c:pt idx="0">
                  <c:v>Mumbai</c:v>
                </c:pt>
              </c:strCache>
            </c:strRef>
          </c:tx>
          <c:spPr>
            <a:ln w="28575" cap="rnd">
              <a:solidFill>
                <a:schemeClr val="accent3">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AQI'!$AB$4:$AB$10</c:f>
              <c:numCache>
                <c:formatCode>0</c:formatCode>
                <c:ptCount val="6"/>
                <c:pt idx="3">
                  <c:v>66.361800000000002</c:v>
                </c:pt>
                <c:pt idx="4">
                  <c:v>107.9507</c:v>
                </c:pt>
                <c:pt idx="5">
                  <c:v>103.56829999999999</c:v>
                </c:pt>
              </c:numCache>
            </c:numRef>
          </c:val>
          <c:smooth val="0"/>
          <c:extLst>
            <c:ext xmlns:c16="http://schemas.microsoft.com/office/drawing/2014/chart" uri="{C3380CC4-5D6E-409C-BE32-E72D297353CC}">
              <c16:uniqueId val="{00000041-1608-4586-9DCB-743CAA9228EE}"/>
            </c:ext>
          </c:extLst>
        </c:ser>
        <c:ser>
          <c:idx val="21"/>
          <c:order val="21"/>
          <c:tx>
            <c:strRef>
              <c:f>'City Wise AQI'!$AC$2:$AC$3</c:f>
              <c:strCache>
                <c:ptCount val="1"/>
                <c:pt idx="0">
                  <c:v>Patna</c:v>
                </c:pt>
              </c:strCache>
            </c:strRef>
          </c:tx>
          <c:spPr>
            <a:ln w="28575" cap="rnd">
              <a:solidFill>
                <a:schemeClr val="accent4">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AQI'!$AC$4:$AC$10</c:f>
              <c:numCache>
                <c:formatCode>0</c:formatCode>
                <c:ptCount val="6"/>
                <c:pt idx="0">
                  <c:v>137.1739</c:v>
                </c:pt>
                <c:pt idx="1">
                  <c:v>231.35730000000001</c:v>
                </c:pt>
                <c:pt idx="2">
                  <c:v>207.9513</c:v>
                </c:pt>
                <c:pt idx="3">
                  <c:v>231.07400000000001</c:v>
                </c:pt>
                <c:pt idx="4">
                  <c:v>215.261</c:v>
                </c:pt>
                <c:pt idx="5">
                  <c:v>162.25139999999999</c:v>
                </c:pt>
              </c:numCache>
            </c:numRef>
          </c:val>
          <c:smooth val="0"/>
          <c:extLst>
            <c:ext xmlns:c16="http://schemas.microsoft.com/office/drawing/2014/chart" uri="{C3380CC4-5D6E-409C-BE32-E72D297353CC}">
              <c16:uniqueId val="{00000042-1608-4586-9DCB-743CAA9228EE}"/>
            </c:ext>
          </c:extLst>
        </c:ser>
        <c:ser>
          <c:idx val="22"/>
          <c:order val="22"/>
          <c:tx>
            <c:strRef>
              <c:f>'City Wise AQI'!$AD$2:$AD$3</c:f>
              <c:strCache>
                <c:ptCount val="1"/>
                <c:pt idx="0">
                  <c:v>Shillong</c:v>
                </c:pt>
              </c:strCache>
            </c:strRef>
          </c:tx>
          <c:spPr>
            <a:ln w="28575" cap="rnd">
              <a:solidFill>
                <a:schemeClr val="accent5">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AQI'!$AD$4:$AD$10</c:f>
              <c:numCache>
                <c:formatCode>0</c:formatCode>
                <c:ptCount val="6"/>
                <c:pt idx="4">
                  <c:v>27.742599999999999</c:v>
                </c:pt>
                <c:pt idx="5">
                  <c:v>53.070999999999998</c:v>
                </c:pt>
              </c:numCache>
            </c:numRef>
          </c:val>
          <c:smooth val="0"/>
          <c:extLst>
            <c:ext xmlns:c16="http://schemas.microsoft.com/office/drawing/2014/chart" uri="{C3380CC4-5D6E-409C-BE32-E72D297353CC}">
              <c16:uniqueId val="{00000043-1608-4586-9DCB-743CAA9228EE}"/>
            </c:ext>
          </c:extLst>
        </c:ser>
        <c:ser>
          <c:idx val="23"/>
          <c:order val="23"/>
          <c:tx>
            <c:strRef>
              <c:f>'City Wise AQI'!$AE$2:$AE$3</c:f>
              <c:strCache>
                <c:ptCount val="1"/>
                <c:pt idx="0">
                  <c:v>Talcher</c:v>
                </c:pt>
              </c:strCache>
            </c:strRef>
          </c:tx>
          <c:spPr>
            <a:ln w="28575" cap="rnd">
              <a:solidFill>
                <a:schemeClr val="accent6">
                  <a:lumMod val="8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AQI'!$AE$4:$AE$10</c:f>
              <c:numCache>
                <c:formatCode>0</c:formatCode>
                <c:ptCount val="6"/>
                <c:pt idx="3">
                  <c:v>156.3134</c:v>
                </c:pt>
                <c:pt idx="4">
                  <c:v>145.0822</c:v>
                </c:pt>
                <c:pt idx="5">
                  <c:v>146.59649999999999</c:v>
                </c:pt>
              </c:numCache>
            </c:numRef>
          </c:val>
          <c:smooth val="0"/>
          <c:extLst>
            <c:ext xmlns:c16="http://schemas.microsoft.com/office/drawing/2014/chart" uri="{C3380CC4-5D6E-409C-BE32-E72D297353CC}">
              <c16:uniqueId val="{00000044-1608-4586-9DCB-743CAA9228EE}"/>
            </c:ext>
          </c:extLst>
        </c:ser>
        <c:ser>
          <c:idx val="24"/>
          <c:order val="24"/>
          <c:tx>
            <c:strRef>
              <c:f>'City Wise AQI'!$AF$2:$AF$3</c:f>
              <c:strCache>
                <c:ptCount val="1"/>
                <c:pt idx="0">
                  <c:v>Thiruvananthapuram</c:v>
                </c:pt>
              </c:strCache>
            </c:strRef>
          </c:tx>
          <c:spPr>
            <a:ln w="28575" cap="rnd">
              <a:solidFill>
                <a:schemeClr val="accent1">
                  <a:lumMod val="60000"/>
                  <a:lumOff val="4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AQI'!$AF$4:$AF$10</c:f>
              <c:numCache>
                <c:formatCode>0</c:formatCode>
                <c:ptCount val="6"/>
                <c:pt idx="2">
                  <c:v>56.104199999999999</c:v>
                </c:pt>
                <c:pt idx="3">
                  <c:v>82.547899999999998</c:v>
                </c:pt>
                <c:pt idx="4">
                  <c:v>74.537599999999998</c:v>
                </c:pt>
                <c:pt idx="5">
                  <c:v>66.464500000000001</c:v>
                </c:pt>
              </c:numCache>
            </c:numRef>
          </c:val>
          <c:smooth val="0"/>
          <c:extLst>
            <c:ext xmlns:c16="http://schemas.microsoft.com/office/drawing/2014/chart" uri="{C3380CC4-5D6E-409C-BE32-E72D297353CC}">
              <c16:uniqueId val="{00000045-1608-4586-9DCB-743CAA9228EE}"/>
            </c:ext>
          </c:extLst>
        </c:ser>
        <c:ser>
          <c:idx val="25"/>
          <c:order val="25"/>
          <c:tx>
            <c:strRef>
              <c:f>'City Wise AQI'!$AG$2:$AG$3</c:f>
              <c:strCache>
                <c:ptCount val="1"/>
                <c:pt idx="0">
                  <c:v>Visakhapatnam</c:v>
                </c:pt>
              </c:strCache>
            </c:strRef>
          </c:tx>
          <c:spPr>
            <a:ln w="28575" cap="rnd">
              <a:solidFill>
                <a:schemeClr val="accent2">
                  <a:lumMod val="60000"/>
                  <a:lumOff val="40000"/>
                </a:schemeClr>
              </a:solidFill>
              <a:round/>
            </a:ln>
            <a:effectLst/>
          </c:spPr>
          <c:marker>
            <c:symbol val="none"/>
          </c:marker>
          <c:cat>
            <c:strRef>
              <c:f>'City Wise AQI'!$G$4:$G$10</c:f>
              <c:strCache>
                <c:ptCount val="6"/>
                <c:pt idx="0">
                  <c:v>2015</c:v>
                </c:pt>
                <c:pt idx="1">
                  <c:v>2016</c:v>
                </c:pt>
                <c:pt idx="2">
                  <c:v>2017</c:v>
                </c:pt>
                <c:pt idx="3">
                  <c:v>2018</c:v>
                </c:pt>
                <c:pt idx="4">
                  <c:v>2019</c:v>
                </c:pt>
                <c:pt idx="5">
                  <c:v>2020</c:v>
                </c:pt>
              </c:strCache>
            </c:strRef>
          </c:cat>
          <c:val>
            <c:numRef>
              <c:f>'City Wise AQI'!$AG$4:$AG$10</c:f>
              <c:numCache>
                <c:formatCode>0</c:formatCode>
                <c:ptCount val="6"/>
                <c:pt idx="1">
                  <c:v>97.550600000000003</c:v>
                </c:pt>
                <c:pt idx="2">
                  <c:v>115.4924</c:v>
                </c:pt>
                <c:pt idx="3">
                  <c:v>115.05459999999999</c:v>
                </c:pt>
                <c:pt idx="4">
                  <c:v>117.9104</c:v>
                </c:pt>
                <c:pt idx="5">
                  <c:v>82.824200000000005</c:v>
                </c:pt>
              </c:numCache>
            </c:numRef>
          </c:val>
          <c:smooth val="0"/>
          <c:extLst>
            <c:ext xmlns:c16="http://schemas.microsoft.com/office/drawing/2014/chart" uri="{C3380CC4-5D6E-409C-BE32-E72D297353CC}">
              <c16:uniqueId val="{00000048-1608-4586-9DCB-743CAA9228EE}"/>
            </c:ext>
          </c:extLst>
        </c:ser>
        <c:dLbls>
          <c:showLegendKey val="0"/>
          <c:showVal val="0"/>
          <c:showCatName val="0"/>
          <c:showSerName val="0"/>
          <c:showPercent val="0"/>
          <c:showBubbleSize val="0"/>
        </c:dLbls>
        <c:smooth val="0"/>
        <c:axId val="1469383008"/>
        <c:axId val="1469393088"/>
      </c:lineChart>
      <c:catAx>
        <c:axId val="146938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93088"/>
        <c:crosses val="autoZero"/>
        <c:auto val="1"/>
        <c:lblAlgn val="ctr"/>
        <c:lblOffset val="100"/>
        <c:noMultiLvlLbl val="0"/>
      </c:catAx>
      <c:valAx>
        <c:axId val="14693930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6938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Sheet.xlsx]Polluted City!Polluted_City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Polluted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'Polluted City'!$F$2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'Polluted City'!$E$3:$E$13</c:f>
              <c:strCache>
                <c:ptCount val="10"/>
                <c:pt idx="0">
                  <c:v>Delhi</c:v>
                </c:pt>
                <c:pt idx="1">
                  <c:v>Ahmedabad</c:v>
                </c:pt>
                <c:pt idx="2">
                  <c:v>Lucknow</c:v>
                </c:pt>
                <c:pt idx="3">
                  <c:v>Patna</c:v>
                </c:pt>
                <c:pt idx="4">
                  <c:v>Gurugram</c:v>
                </c:pt>
                <c:pt idx="5">
                  <c:v>Talcher</c:v>
                </c:pt>
                <c:pt idx="6">
                  <c:v>Kolkata</c:v>
                </c:pt>
                <c:pt idx="7">
                  <c:v>Jorapokhar</c:v>
                </c:pt>
                <c:pt idx="8">
                  <c:v>Brajrajnagar</c:v>
                </c:pt>
                <c:pt idx="9">
                  <c:v>Guwahati</c:v>
                </c:pt>
              </c:strCache>
            </c:strRef>
          </c:cat>
          <c:val>
            <c:numRef>
              <c:f>'Polluted City'!$F$3:$F$13</c:f>
              <c:numCache>
                <c:formatCode>0.00%</c:formatCode>
                <c:ptCount val="10"/>
                <c:pt idx="0">
                  <c:v>0.22716954775624237</c:v>
                </c:pt>
                <c:pt idx="1">
                  <c:v>0.19067574646411733</c:v>
                </c:pt>
                <c:pt idx="2">
                  <c:v>0.16326174262266457</c:v>
                </c:pt>
                <c:pt idx="3">
                  <c:v>0.13637157324951982</c:v>
                </c:pt>
                <c:pt idx="4">
                  <c:v>0.13148245154531168</c:v>
                </c:pt>
                <c:pt idx="5">
                  <c:v>3.5795355334381003E-2</c:v>
                </c:pt>
                <c:pt idx="6">
                  <c:v>3.457307490832897E-2</c:v>
                </c:pt>
                <c:pt idx="7">
                  <c:v>3.0207787672428845E-2</c:v>
                </c:pt>
                <c:pt idx="8">
                  <c:v>2.7239392352016764E-2</c:v>
                </c:pt>
                <c:pt idx="9">
                  <c:v>2.322332809498865E-2</c:v>
                </c:pt>
              </c:numCache>
            </c:numRef>
          </c:val>
          <c:extLst>
            <c:ext xmlns:c16="http://schemas.microsoft.com/office/drawing/2014/chart" uri="{C3380CC4-5D6E-409C-BE32-E72D297353CC}">
              <c16:uniqueId val="{00000000-E200-4C78-9FD7-C33467D3DEFC}"/>
            </c:ext>
          </c:extLst>
        </c:ser>
        <c:dLbls>
          <c:dLblPos val="outEnd"/>
          <c:showLegendKey val="0"/>
          <c:showVal val="1"/>
          <c:showCatName val="0"/>
          <c:showSerName val="0"/>
          <c:showPercent val="0"/>
          <c:showBubbleSize val="0"/>
        </c:dLbls>
        <c:gapWidth val="219"/>
        <c:overlap val="-27"/>
        <c:axId val="1469418528"/>
        <c:axId val="1469402208"/>
      </c:barChart>
      <c:catAx>
        <c:axId val="14694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02208"/>
        <c:crosses val="autoZero"/>
        <c:auto val="1"/>
        <c:lblAlgn val="ctr"/>
        <c:lblOffset val="100"/>
        <c:noMultiLvlLbl val="0"/>
      </c:catAx>
      <c:valAx>
        <c:axId val="146940220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6941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Sheet.xlsx]AQI Bucket!AQI_Bucket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AQI_Bucket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'AQI Bucket'!$F$3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96-4400-8961-DC15AB9C63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96-4400-8961-DC15AB9C63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96-4400-8961-DC15AB9C63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'AQI Bucket'!$E$4:$E$7</c:f>
              <c:strCache>
                <c:ptCount val="3"/>
                <c:pt idx="0">
                  <c:v>Poor</c:v>
                </c:pt>
                <c:pt idx="1">
                  <c:v>Severe</c:v>
                </c:pt>
                <c:pt idx="2">
                  <c:v>Very Poor</c:v>
                </c:pt>
              </c:strCache>
            </c:strRef>
          </c:cat>
          <c:val>
            <c:numRef>
              <c:f>'AQI Bucket'!$F$4:$F$7</c:f>
              <c:numCache>
                <c:formatCode>0.00%</c:formatCode>
                <c:ptCount val="3"/>
                <c:pt idx="0">
                  <c:v>0.43076208178438663</c:v>
                </c:pt>
                <c:pt idx="1">
                  <c:v>0.20724907063197026</c:v>
                </c:pt>
                <c:pt idx="2">
                  <c:v>0.36198884758364314</c:v>
                </c:pt>
              </c:numCache>
            </c:numRef>
          </c:val>
          <c:extLst>
            <c:ext xmlns:c16="http://schemas.microsoft.com/office/drawing/2014/chart" uri="{C3380CC4-5D6E-409C-BE32-E72D297353CC}">
              <c16:uniqueId val="{00000006-B096-4400-8961-DC15AB9C635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Sheet.xlsx]MonthWise Pollutant!Monthwise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Pollutant</a:t>
            </a:r>
            <a:r>
              <a:rPr lang="en-IN" b="1" baseline="0"/>
              <a: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'MonthWise Pollutant'!$F$3</c:f>
              <c:strCache>
                <c:ptCount val="1"/>
                <c:pt idx="0">
                  <c:v>Avg PM2_5</c:v>
                </c:pt>
              </c:strCache>
            </c:strRef>
          </c:tx>
          <c:spPr>
            <a:solidFill>
              <a:schemeClr val="accent1"/>
            </a:solidFill>
            <a:ln>
              <a:noFill/>
            </a:ln>
            <a:effectLst/>
          </c:spPr>
          <c:invertIfNegative val="0"/>
          <c:cat>
            <c:strRef>
              <c:f>'MonthWise Pollutant'!$E$4:$E$16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'MonthWise Pollutant'!$F$4:$F$16</c:f>
              <c:numCache>
                <c:formatCode>0.00%</c:formatCode>
                <c:ptCount val="12"/>
                <c:pt idx="0">
                  <c:v>0.79051945919316879</c:v>
                </c:pt>
                <c:pt idx="1">
                  <c:v>0.48836827412556788</c:v>
                </c:pt>
                <c:pt idx="2">
                  <c:v>1.6864634079588374</c:v>
                </c:pt>
                <c:pt idx="3">
                  <c:v>1.2054847008593792</c:v>
                </c:pt>
                <c:pt idx="4">
                  <c:v>1.5360446658273579</c:v>
                </c:pt>
                <c:pt idx="5">
                  <c:v>0.54879851113908806</c:v>
                </c:pt>
                <c:pt idx="6">
                  <c:v>0.64404181947561434</c:v>
                </c:pt>
                <c:pt idx="7">
                  <c:v>0.94372981553451196</c:v>
                </c:pt>
                <c:pt idx="8">
                  <c:v>0.77459083693688768</c:v>
                </c:pt>
                <c:pt idx="9">
                  <c:v>1.7127374240516722</c:v>
                </c:pt>
                <c:pt idx="10">
                  <c:v>1.1044939515025454</c:v>
                </c:pt>
                <c:pt idx="11">
                  <c:v>0.56472713339536917</c:v>
                </c:pt>
              </c:numCache>
            </c:numRef>
          </c:val>
          <c:extLst>
            <c:ext xmlns:c16="http://schemas.microsoft.com/office/drawing/2014/chart" uri="{C3380CC4-5D6E-409C-BE32-E72D297353CC}">
              <c16:uniqueId val="{00000000-F2AD-4238-8123-9166DAC6D65F}"/>
            </c:ext>
          </c:extLst>
        </c:ser>
        <c:ser>
          <c:idx val="1"/>
          <c:order val="1"/>
          <c:tx>
            <c:strRef>
              <c:f>'MonthWise Pollutant'!$G$3</c:f>
              <c:strCache>
                <c:ptCount val="1"/>
                <c:pt idx="0">
                  <c:v>Avg PM10</c:v>
                </c:pt>
              </c:strCache>
            </c:strRef>
          </c:tx>
          <c:spPr>
            <a:solidFill>
              <a:schemeClr val="accent2"/>
            </a:solidFill>
            <a:ln>
              <a:noFill/>
            </a:ln>
            <a:effectLst/>
          </c:spPr>
          <c:invertIfNegative val="0"/>
          <c:cat>
            <c:strRef>
              <c:f>'MonthWise Pollutant'!$E$4:$E$16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'MonthWise Pollutant'!$G$4:$G$16</c:f>
              <c:numCache>
                <c:formatCode>0.00%</c:formatCode>
                <c:ptCount val="12"/>
                <c:pt idx="0">
                  <c:v>0.9109354498031812</c:v>
                </c:pt>
                <c:pt idx="1">
                  <c:v>0.53112298780682954</c:v>
                </c:pt>
                <c:pt idx="2">
                  <c:v>1.4546036419496273</c:v>
                </c:pt>
                <c:pt idx="3">
                  <c:v>1.3132780746951709</c:v>
                </c:pt>
                <c:pt idx="4">
                  <c:v>1.4278490735110574</c:v>
                </c:pt>
                <c:pt idx="5">
                  <c:v>0.54021186033859259</c:v>
                </c:pt>
                <c:pt idx="6">
                  <c:v>0.74067910519409874</c:v>
                </c:pt>
                <c:pt idx="7">
                  <c:v>1.0353633948859091</c:v>
                </c:pt>
                <c:pt idx="8">
                  <c:v>0.93205747751784185</c:v>
                </c:pt>
                <c:pt idx="9">
                  <c:v>1.4749575959292094</c:v>
                </c:pt>
                <c:pt idx="10">
                  <c:v>1.032803149102314</c:v>
                </c:pt>
                <c:pt idx="11">
                  <c:v>0.60613818926616958</c:v>
                </c:pt>
              </c:numCache>
            </c:numRef>
          </c:val>
          <c:extLst>
            <c:ext xmlns:c16="http://schemas.microsoft.com/office/drawing/2014/chart" uri="{C3380CC4-5D6E-409C-BE32-E72D297353CC}">
              <c16:uniqueId val="{00000001-F2AD-4238-8123-9166DAC6D65F}"/>
            </c:ext>
          </c:extLst>
        </c:ser>
        <c:dLbls>
          <c:showLegendKey val="0"/>
          <c:showVal val="0"/>
          <c:showCatName val="0"/>
          <c:showSerName val="0"/>
          <c:showPercent val="0"/>
          <c:showBubbleSize val="0"/>
        </c:dLbls>
        <c:gapWidth val="219"/>
        <c:overlap val="-27"/>
        <c:axId val="1469434848"/>
        <c:axId val="1469437728"/>
      </c:barChart>
      <c:catAx>
        <c:axId val="14694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37728"/>
        <c:crosses val="autoZero"/>
        <c:auto val="1"/>
        <c:lblAlgn val="ctr"/>
        <c:lblOffset val="100"/>
        <c:noMultiLvlLbl val="0"/>
      </c:catAx>
      <c:valAx>
        <c:axId val="146943772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6943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Sheet.xlsx]Station Vs. AQI!Station_Vs_AQI</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Stations Vs AQI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Vs. AQI'!$G$3</c:f>
              <c:strCache>
                <c:ptCount val="1"/>
                <c:pt idx="0">
                  <c:v>Avg AQI</c:v>
                </c:pt>
              </c:strCache>
            </c:strRef>
          </c:tx>
          <c:spPr>
            <a:solidFill>
              <a:schemeClr val="accent1"/>
            </a:solidFill>
            <a:ln>
              <a:noFill/>
            </a:ln>
            <a:effectLst/>
          </c:spPr>
          <c:invertIfNegative val="0"/>
          <c:cat>
            <c:strRef>
              <c:f>'Station Vs. AQI'!$F$4:$F$25</c:f>
              <c:strCache>
                <c:ptCount val="21"/>
                <c:pt idx="0">
                  <c:v>Andhra Pradesh</c:v>
                </c:pt>
                <c:pt idx="1">
                  <c:v>Assam</c:v>
                </c:pt>
                <c:pt idx="2">
                  <c:v>Bihar</c:v>
                </c:pt>
                <c:pt idx="3">
                  <c:v>Chandigarh</c:v>
                </c:pt>
                <c:pt idx="4">
                  <c:v>Delhi</c:v>
                </c:pt>
                <c:pt idx="5">
                  <c:v>Gujarat</c:v>
                </c:pt>
                <c:pt idx="6">
                  <c:v>Haryana</c:v>
                </c:pt>
                <c:pt idx="7">
                  <c:v>Jharkhand</c:v>
                </c:pt>
                <c:pt idx="8">
                  <c:v>Karnataka</c:v>
                </c:pt>
                <c:pt idx="9">
                  <c:v>Kerala</c:v>
                </c:pt>
                <c:pt idx="10">
                  <c:v>Madhya Pradesh</c:v>
                </c:pt>
                <c:pt idx="11">
                  <c:v>Maharashtra</c:v>
                </c:pt>
                <c:pt idx="12">
                  <c:v>Meghalaya</c:v>
                </c:pt>
                <c:pt idx="13">
                  <c:v>Mizoram</c:v>
                </c:pt>
                <c:pt idx="14">
                  <c:v>Odisha</c:v>
                </c:pt>
                <c:pt idx="15">
                  <c:v>Punjab</c:v>
                </c:pt>
                <c:pt idx="16">
                  <c:v>Rajasthan</c:v>
                </c:pt>
                <c:pt idx="17">
                  <c:v>Tamil Nadu</c:v>
                </c:pt>
                <c:pt idx="18">
                  <c:v>Telangana</c:v>
                </c:pt>
                <c:pt idx="19">
                  <c:v>Uttar Pradesh</c:v>
                </c:pt>
                <c:pt idx="20">
                  <c:v>West Bengal</c:v>
                </c:pt>
              </c:strCache>
            </c:strRef>
          </c:cat>
          <c:val>
            <c:numRef>
              <c:f>'Station Vs. AQI'!$G$4:$G$25</c:f>
              <c:numCache>
                <c:formatCode>General</c:formatCode>
                <c:ptCount val="21"/>
                <c:pt idx="0">
                  <c:v>90.12</c:v>
                </c:pt>
                <c:pt idx="1">
                  <c:v>138.16</c:v>
                </c:pt>
                <c:pt idx="2">
                  <c:v>170.77</c:v>
                </c:pt>
                <c:pt idx="3">
                  <c:v>94.91</c:v>
                </c:pt>
                <c:pt idx="4">
                  <c:v>190.04</c:v>
                </c:pt>
                <c:pt idx="5">
                  <c:v>300.22000000000003</c:v>
                </c:pt>
                <c:pt idx="6">
                  <c:v>173.82</c:v>
                </c:pt>
                <c:pt idx="7">
                  <c:v>105.03</c:v>
                </c:pt>
                <c:pt idx="8">
                  <c:v>73.709999999999994</c:v>
                </c:pt>
                <c:pt idx="9">
                  <c:v>74.92</c:v>
                </c:pt>
                <c:pt idx="10">
                  <c:v>127.77</c:v>
                </c:pt>
                <c:pt idx="11">
                  <c:v>72.5</c:v>
                </c:pt>
                <c:pt idx="12">
                  <c:v>35.57</c:v>
                </c:pt>
                <c:pt idx="13">
                  <c:v>34.15</c:v>
                </c:pt>
                <c:pt idx="14">
                  <c:v>122.29</c:v>
                </c:pt>
                <c:pt idx="15">
                  <c:v>110.59</c:v>
                </c:pt>
                <c:pt idx="16">
                  <c:v>131.4</c:v>
                </c:pt>
                <c:pt idx="17">
                  <c:v>84.18</c:v>
                </c:pt>
                <c:pt idx="18">
                  <c:v>80.569999999999993</c:v>
                </c:pt>
                <c:pt idx="19">
                  <c:v>186.15</c:v>
                </c:pt>
                <c:pt idx="20">
                  <c:v>125.58</c:v>
                </c:pt>
              </c:numCache>
            </c:numRef>
          </c:val>
          <c:extLst>
            <c:ext xmlns:c16="http://schemas.microsoft.com/office/drawing/2014/chart" uri="{C3380CC4-5D6E-409C-BE32-E72D297353CC}">
              <c16:uniqueId val="{00000000-346D-41F8-8E4F-4B7C268F9160}"/>
            </c:ext>
          </c:extLst>
        </c:ser>
        <c:ser>
          <c:idx val="1"/>
          <c:order val="1"/>
          <c:tx>
            <c:strRef>
              <c:f>'Station Vs. AQI'!$H$3</c:f>
              <c:strCache>
                <c:ptCount val="1"/>
                <c:pt idx="0">
                  <c:v>Total Stations</c:v>
                </c:pt>
              </c:strCache>
            </c:strRef>
          </c:tx>
          <c:spPr>
            <a:solidFill>
              <a:schemeClr val="accent2"/>
            </a:solidFill>
            <a:ln>
              <a:noFill/>
            </a:ln>
            <a:effectLst/>
          </c:spPr>
          <c:invertIfNegative val="0"/>
          <c:cat>
            <c:strRef>
              <c:f>'Station Vs. AQI'!$F$4:$F$25</c:f>
              <c:strCache>
                <c:ptCount val="21"/>
                <c:pt idx="0">
                  <c:v>Andhra Pradesh</c:v>
                </c:pt>
                <c:pt idx="1">
                  <c:v>Assam</c:v>
                </c:pt>
                <c:pt idx="2">
                  <c:v>Bihar</c:v>
                </c:pt>
                <c:pt idx="3">
                  <c:v>Chandigarh</c:v>
                </c:pt>
                <c:pt idx="4">
                  <c:v>Delhi</c:v>
                </c:pt>
                <c:pt idx="5">
                  <c:v>Gujarat</c:v>
                </c:pt>
                <c:pt idx="6">
                  <c:v>Haryana</c:v>
                </c:pt>
                <c:pt idx="7">
                  <c:v>Jharkhand</c:v>
                </c:pt>
                <c:pt idx="8">
                  <c:v>Karnataka</c:v>
                </c:pt>
                <c:pt idx="9">
                  <c:v>Kerala</c:v>
                </c:pt>
                <c:pt idx="10">
                  <c:v>Madhya Pradesh</c:v>
                </c:pt>
                <c:pt idx="11">
                  <c:v>Maharashtra</c:v>
                </c:pt>
                <c:pt idx="12">
                  <c:v>Meghalaya</c:v>
                </c:pt>
                <c:pt idx="13">
                  <c:v>Mizoram</c:v>
                </c:pt>
                <c:pt idx="14">
                  <c:v>Odisha</c:v>
                </c:pt>
                <c:pt idx="15">
                  <c:v>Punjab</c:v>
                </c:pt>
                <c:pt idx="16">
                  <c:v>Rajasthan</c:v>
                </c:pt>
                <c:pt idx="17">
                  <c:v>Tamil Nadu</c:v>
                </c:pt>
                <c:pt idx="18">
                  <c:v>Telangana</c:v>
                </c:pt>
                <c:pt idx="19">
                  <c:v>Uttar Pradesh</c:v>
                </c:pt>
                <c:pt idx="20">
                  <c:v>West Bengal</c:v>
                </c:pt>
              </c:strCache>
            </c:strRef>
          </c:cat>
          <c:val>
            <c:numRef>
              <c:f>'Station Vs. AQI'!$H$4:$H$25</c:f>
              <c:numCache>
                <c:formatCode>General</c:formatCode>
                <c:ptCount val="21"/>
                <c:pt idx="0">
                  <c:v>2</c:v>
                </c:pt>
                <c:pt idx="1">
                  <c:v>1</c:v>
                </c:pt>
                <c:pt idx="2">
                  <c:v>6</c:v>
                </c:pt>
                <c:pt idx="3">
                  <c:v>1</c:v>
                </c:pt>
                <c:pt idx="4">
                  <c:v>38</c:v>
                </c:pt>
                <c:pt idx="5">
                  <c:v>1</c:v>
                </c:pt>
                <c:pt idx="6">
                  <c:v>4</c:v>
                </c:pt>
                <c:pt idx="7">
                  <c:v>1</c:v>
                </c:pt>
                <c:pt idx="8">
                  <c:v>10</c:v>
                </c:pt>
                <c:pt idx="9">
                  <c:v>4</c:v>
                </c:pt>
                <c:pt idx="10">
                  <c:v>1</c:v>
                </c:pt>
                <c:pt idx="11">
                  <c:v>10</c:v>
                </c:pt>
                <c:pt idx="12">
                  <c:v>1</c:v>
                </c:pt>
                <c:pt idx="13">
                  <c:v>1</c:v>
                </c:pt>
                <c:pt idx="14">
                  <c:v>2</c:v>
                </c:pt>
                <c:pt idx="15">
                  <c:v>1</c:v>
                </c:pt>
                <c:pt idx="16">
                  <c:v>3</c:v>
                </c:pt>
                <c:pt idx="17">
                  <c:v>5</c:v>
                </c:pt>
                <c:pt idx="18">
                  <c:v>6</c:v>
                </c:pt>
                <c:pt idx="19">
                  <c:v>5</c:v>
                </c:pt>
                <c:pt idx="20">
                  <c:v>7</c:v>
                </c:pt>
              </c:numCache>
            </c:numRef>
          </c:val>
          <c:extLst>
            <c:ext xmlns:c16="http://schemas.microsoft.com/office/drawing/2014/chart" uri="{C3380CC4-5D6E-409C-BE32-E72D297353CC}">
              <c16:uniqueId val="{00000001-346D-41F8-8E4F-4B7C268F9160}"/>
            </c:ext>
          </c:extLst>
        </c:ser>
        <c:dLbls>
          <c:showLegendKey val="0"/>
          <c:showVal val="0"/>
          <c:showCatName val="0"/>
          <c:showSerName val="0"/>
          <c:showPercent val="0"/>
          <c:showBubbleSize val="0"/>
        </c:dLbls>
        <c:gapWidth val="182"/>
        <c:axId val="1469322528"/>
        <c:axId val="1469315328"/>
      </c:barChart>
      <c:catAx>
        <c:axId val="146932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15328"/>
        <c:crosses val="autoZero"/>
        <c:auto val="1"/>
        <c:lblAlgn val="ctr"/>
        <c:lblOffset val="100"/>
        <c:noMultiLvlLbl val="0"/>
      </c:catAx>
      <c:valAx>
        <c:axId val="1469315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6932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 Sheet.xlsx]Pollutant Levels!Pollutant_Severity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Pollutant</a:t>
            </a:r>
            <a:r>
              <a:rPr lang="en-US" b="1" baseline="0"/>
              <a:t> Severity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'Pollutant Levels'!$F$3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'Pollutant Levels'!$E$4:$E$14</c:f>
              <c:strCache>
                <c:ptCount val="10"/>
                <c:pt idx="0">
                  <c:v>PM2.5</c:v>
                </c:pt>
                <c:pt idx="1">
                  <c:v>PM10</c:v>
                </c:pt>
                <c:pt idx="2">
                  <c:v>NO2</c:v>
                </c:pt>
                <c:pt idx="3">
                  <c:v>SO2</c:v>
                </c:pt>
                <c:pt idx="4">
                  <c:v>Toluene</c:v>
                </c:pt>
                <c:pt idx="5">
                  <c:v>NOx</c:v>
                </c:pt>
                <c:pt idx="6">
                  <c:v>O3</c:v>
                </c:pt>
                <c:pt idx="7">
                  <c:v>NO</c:v>
                </c:pt>
                <c:pt idx="8">
                  <c:v>Xylene</c:v>
                </c:pt>
                <c:pt idx="9">
                  <c:v>Benzene</c:v>
                </c:pt>
              </c:strCache>
            </c:strRef>
          </c:cat>
          <c:val>
            <c:numRef>
              <c:f>'Pollutant Levels'!$F$4:$F$14</c:f>
              <c:numCache>
                <c:formatCode>0.00%</c:formatCode>
                <c:ptCount val="10"/>
                <c:pt idx="0">
                  <c:v>0.41629297458893871</c:v>
                </c:pt>
                <c:pt idx="1">
                  <c:v>0.31240657698056801</c:v>
                </c:pt>
                <c:pt idx="2">
                  <c:v>0.156203288490284</c:v>
                </c:pt>
                <c:pt idx="3">
                  <c:v>6.5022421524663671E-2</c:v>
                </c:pt>
                <c:pt idx="4">
                  <c:v>2.0179372197309416E-2</c:v>
                </c:pt>
                <c:pt idx="5">
                  <c:v>1.7937219730941704E-2</c:v>
                </c:pt>
                <c:pt idx="6">
                  <c:v>5.9790732436472349E-3</c:v>
                </c:pt>
                <c:pt idx="7">
                  <c:v>4.4843049327354259E-3</c:v>
                </c:pt>
                <c:pt idx="8">
                  <c:v>7.4738415545590436E-4</c:v>
                </c:pt>
                <c:pt idx="9">
                  <c:v>7.4738415545590436E-4</c:v>
                </c:pt>
              </c:numCache>
            </c:numRef>
          </c:val>
          <c:extLst>
            <c:ext xmlns:c16="http://schemas.microsoft.com/office/drawing/2014/chart" uri="{C3380CC4-5D6E-409C-BE32-E72D297353CC}">
              <c16:uniqueId val="{00000000-672E-462D-882E-88F7D269CB36}"/>
            </c:ext>
          </c:extLst>
        </c:ser>
        <c:dLbls>
          <c:dLblPos val="outEnd"/>
          <c:showLegendKey val="0"/>
          <c:showVal val="1"/>
          <c:showCatName val="0"/>
          <c:showSerName val="0"/>
          <c:showPercent val="0"/>
          <c:showBubbleSize val="0"/>
        </c:dLbls>
        <c:gapWidth val="219"/>
        <c:overlap val="-27"/>
        <c:axId val="1003192016"/>
        <c:axId val="1003189136"/>
      </c:barChart>
      <c:catAx>
        <c:axId val="100319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189136"/>
        <c:crosses val="autoZero"/>
        <c:auto val="1"/>
        <c:lblAlgn val="ctr"/>
        <c:lblOffset val="100"/>
        <c:noMultiLvlLbl val="0"/>
      </c:catAx>
      <c:valAx>
        <c:axId val="100318913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00319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21</xdr:col>
      <xdr:colOff>314325</xdr:colOff>
      <xdr:row>10</xdr:row>
      <xdr:rowOff>109537</xdr:rowOff>
    </xdr:from>
    <xdr:to>
      <xdr:col>28</xdr:col>
      <xdr:colOff>400050</xdr:colOff>
      <xdr:row>24</xdr:row>
      <xdr:rowOff>185737</xdr:rowOff>
    </xdr:to>
    <xdr:graphicFrame macro="">
      <xdr:nvGraphicFramePr>
        <xdr:cNvPr id="4" name="Chart 3">
          <a:extLst>
            <a:ext uri="{FF2B5EF4-FFF2-40B4-BE49-F238E27FC236}">
              <a16:creationId xmlns:a16="http://schemas.microsoft.com/office/drawing/2014/main" id="{03BC5979-6F1F-59F5-D071-22D30495E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533399</xdr:colOff>
      <xdr:row>0</xdr:row>
      <xdr:rowOff>171450</xdr:rowOff>
    </xdr:from>
    <xdr:to>
      <xdr:col>17</xdr:col>
      <xdr:colOff>523874</xdr:colOff>
      <xdr:row>12</xdr:row>
      <xdr:rowOff>95250</xdr:rowOff>
    </xdr:to>
    <xdr:graphicFrame macro="">
      <xdr:nvGraphicFramePr>
        <xdr:cNvPr id="3" name="Chart 2">
          <a:extLst>
            <a:ext uri="{FF2B5EF4-FFF2-40B4-BE49-F238E27FC236}">
              <a16:creationId xmlns:a16="http://schemas.microsoft.com/office/drawing/2014/main" id="{AD2967AA-02B0-CC0C-7938-5AE356442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342900</xdr:colOff>
      <xdr:row>1</xdr:row>
      <xdr:rowOff>90486</xdr:rowOff>
    </xdr:from>
    <xdr:to>
      <xdr:col>13</xdr:col>
      <xdr:colOff>571500</xdr:colOff>
      <xdr:row>13</xdr:row>
      <xdr:rowOff>152399</xdr:rowOff>
    </xdr:to>
    <xdr:graphicFrame macro="">
      <xdr:nvGraphicFramePr>
        <xdr:cNvPr id="2" name="Chart 1">
          <a:extLst>
            <a:ext uri="{FF2B5EF4-FFF2-40B4-BE49-F238E27FC236}">
              <a16:creationId xmlns:a16="http://schemas.microsoft.com/office/drawing/2014/main" id="{364C072B-283F-6F76-F65E-E14A52A30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166686</xdr:colOff>
      <xdr:row>1</xdr:row>
      <xdr:rowOff>80962</xdr:rowOff>
    </xdr:from>
    <xdr:to>
      <xdr:col>20</xdr:col>
      <xdr:colOff>95249</xdr:colOff>
      <xdr:row>15</xdr:row>
      <xdr:rowOff>157162</xdr:rowOff>
    </xdr:to>
    <xdr:graphicFrame macro="">
      <xdr:nvGraphicFramePr>
        <xdr:cNvPr id="2" name="Chart 1">
          <a:extLst>
            <a:ext uri="{FF2B5EF4-FFF2-40B4-BE49-F238E27FC236}">
              <a16:creationId xmlns:a16="http://schemas.microsoft.com/office/drawing/2014/main" id="{5E947F7B-7C74-5A3E-46EF-4B18F85EA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361950</xdr:colOff>
      <xdr:row>0</xdr:row>
      <xdr:rowOff>185737</xdr:rowOff>
    </xdr:from>
    <xdr:to>
      <xdr:col>14</xdr:col>
      <xdr:colOff>57150</xdr:colOff>
      <xdr:row>15</xdr:row>
      <xdr:rowOff>71437</xdr:rowOff>
    </xdr:to>
    <xdr:graphicFrame macro="">
      <xdr:nvGraphicFramePr>
        <xdr:cNvPr id="3" name="Chart 2">
          <a:extLst>
            <a:ext uri="{FF2B5EF4-FFF2-40B4-BE49-F238E27FC236}">
              <a16:creationId xmlns:a16="http://schemas.microsoft.com/office/drawing/2014/main" id="{65D66556-D786-35E8-2AD2-8CA87C8A4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95250</xdr:colOff>
      <xdr:row>1</xdr:row>
      <xdr:rowOff>42862</xdr:rowOff>
    </xdr:from>
    <xdr:to>
      <xdr:col>22</xdr:col>
      <xdr:colOff>419101</xdr:colOff>
      <xdr:row>15</xdr:row>
      <xdr:rowOff>119062</xdr:rowOff>
    </xdr:to>
    <xdr:graphicFrame macro="">
      <xdr:nvGraphicFramePr>
        <xdr:cNvPr id="4" name="Chart 3">
          <a:extLst>
            <a:ext uri="{FF2B5EF4-FFF2-40B4-BE49-F238E27FC236}">
              <a16:creationId xmlns:a16="http://schemas.microsoft.com/office/drawing/2014/main" id="{0DDF2D39-590C-0783-91DE-60446C01A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598714</xdr:colOff>
      <xdr:row>8</xdr:row>
      <xdr:rowOff>27213</xdr:rowOff>
    </xdr:from>
    <xdr:to>
      <xdr:col>8</xdr:col>
      <xdr:colOff>556583</xdr:colOff>
      <xdr:row>13</xdr:row>
      <xdr:rowOff>154713</xdr:rowOff>
    </xdr:to>
    <xdr:sp macro="" textlink="'City Wise AQI'!E3">
      <xdr:nvSpPr>
        <xdr:cNvPr id="3" name="Rectangle: Rounded Corners 2">
          <a:extLst>
            <a:ext uri="{FF2B5EF4-FFF2-40B4-BE49-F238E27FC236}">
              <a16:creationId xmlns:a16="http://schemas.microsoft.com/office/drawing/2014/main" id="{199C9867-A811-A656-9CDA-53E37E57B1C5}"/>
            </a:ext>
          </a:extLst>
        </xdr:cNvPr>
        <xdr:cNvSpPr/>
      </xdr:nvSpPr>
      <xdr:spPr>
        <a:xfrm>
          <a:off x="1205933" y="1551213"/>
          <a:ext cx="4208400" cy="1080000"/>
        </a:xfrm>
        <a:prstGeom prst="roundRect">
          <a:avLst/>
        </a:prstGeom>
        <a:solidFill>
          <a:schemeClr val="accent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i="0" u="none" strike="noStrike">
              <a:solidFill>
                <a:schemeClr val="bg1"/>
              </a:solidFill>
              <a:latin typeface="Arial" panose="020B0604020202020204" pitchFamily="34" charset="0"/>
              <a:ea typeface="Calibri"/>
              <a:cs typeface="Arial" panose="020B0604020202020204" pitchFamily="34" charset="0"/>
            </a:rPr>
            <a:t>Average</a:t>
          </a:r>
          <a:r>
            <a:rPr lang="en-US" sz="1800" b="1" i="0" u="none" strike="noStrike" baseline="0">
              <a:solidFill>
                <a:schemeClr val="bg1"/>
              </a:solidFill>
              <a:latin typeface="Arial" panose="020B0604020202020204" pitchFamily="34" charset="0"/>
              <a:ea typeface="Calibri"/>
              <a:cs typeface="Arial" panose="020B0604020202020204" pitchFamily="34" charset="0"/>
            </a:rPr>
            <a:t> AQI</a:t>
          </a:r>
          <a:br>
            <a:rPr lang="en-US" sz="1800" b="1" i="0" u="none" strike="noStrike" baseline="0">
              <a:solidFill>
                <a:schemeClr val="bg1"/>
              </a:solidFill>
              <a:latin typeface="Arial" panose="020B0604020202020204" pitchFamily="34" charset="0"/>
              <a:ea typeface="Calibri"/>
              <a:cs typeface="Arial" panose="020B0604020202020204" pitchFamily="34" charset="0"/>
            </a:rPr>
          </a:br>
          <a:fld id="{7CDE5F7B-1367-4772-98C8-CA99934AB703}" type="TxLink">
            <a:rPr lang="en-US" sz="1800" b="1" i="0" u="none" strike="noStrike">
              <a:solidFill>
                <a:schemeClr val="bg1"/>
              </a:solidFill>
              <a:latin typeface="Arial" panose="020B0604020202020204" pitchFamily="34" charset="0"/>
              <a:ea typeface="Calibri"/>
              <a:cs typeface="Arial" panose="020B0604020202020204" pitchFamily="34" charset="0"/>
            </a:rPr>
            <a:t>150</a:t>
          </a:fld>
          <a:endParaRPr lang="en-IN"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39800</xdr:colOff>
      <xdr:row>8</xdr:row>
      <xdr:rowOff>14626</xdr:rowOff>
    </xdr:from>
    <xdr:to>
      <xdr:col>19</xdr:col>
      <xdr:colOff>597800</xdr:colOff>
      <xdr:row>13</xdr:row>
      <xdr:rowOff>142126</xdr:rowOff>
    </xdr:to>
    <xdr:sp macro="" textlink="'Polluted City'!H17">
      <xdr:nvSpPr>
        <xdr:cNvPr id="4" name="Rectangle: Rounded Corners 3">
          <a:extLst>
            <a:ext uri="{FF2B5EF4-FFF2-40B4-BE49-F238E27FC236}">
              <a16:creationId xmlns:a16="http://schemas.microsoft.com/office/drawing/2014/main" id="{5C9162F3-A89C-46C4-99CA-B01248578332}"/>
            </a:ext>
          </a:extLst>
        </xdr:cNvPr>
        <xdr:cNvSpPr/>
      </xdr:nvSpPr>
      <xdr:spPr>
        <a:xfrm>
          <a:off x="7183550" y="1538626"/>
          <a:ext cx="4215600" cy="1080000"/>
        </a:xfrm>
        <a:prstGeom prst="roundRect">
          <a:avLst/>
        </a:prstGeom>
        <a:solidFill>
          <a:schemeClr val="accent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i="0" u="none" strike="noStrike">
              <a:solidFill>
                <a:schemeClr val="bg1"/>
              </a:solidFill>
              <a:latin typeface="Arial" panose="020B0604020202020204" pitchFamily="34" charset="0"/>
              <a:ea typeface="Calibri"/>
              <a:cs typeface="Arial" panose="020B0604020202020204" pitchFamily="34" charset="0"/>
            </a:rPr>
            <a:t>Most Polluted City</a:t>
          </a:r>
          <a:br>
            <a:rPr lang="en-US" sz="1800" b="1" i="0" u="none" strike="noStrike">
              <a:solidFill>
                <a:schemeClr val="bg1"/>
              </a:solidFill>
              <a:latin typeface="Arial" panose="020B0604020202020204" pitchFamily="34" charset="0"/>
              <a:ea typeface="Calibri"/>
              <a:cs typeface="Arial" panose="020B0604020202020204" pitchFamily="34" charset="0"/>
            </a:rPr>
          </a:br>
          <a:fld id="{9AB3A384-A7DA-4760-8E5E-6A84C16D7F22}" type="TxLink">
            <a:rPr lang="en-US" sz="1800" b="1" i="0" u="none" strike="noStrike">
              <a:solidFill>
                <a:schemeClr val="bg1"/>
              </a:solidFill>
              <a:latin typeface="Arial" panose="020B0604020202020204" pitchFamily="34" charset="0"/>
              <a:ea typeface="Calibri"/>
              <a:cs typeface="Arial" panose="020B0604020202020204" pitchFamily="34" charset="0"/>
            </a:rPr>
            <a:t>Delhi</a:t>
          </a:fld>
          <a:endParaRPr lang="en-IN"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24</xdr:col>
      <xdr:colOff>294288</xdr:colOff>
      <xdr:row>7</xdr:row>
      <xdr:rowOff>186756</xdr:rowOff>
    </xdr:from>
    <xdr:to>
      <xdr:col>31</xdr:col>
      <xdr:colOff>242688</xdr:colOff>
      <xdr:row>13</xdr:row>
      <xdr:rowOff>123756</xdr:rowOff>
    </xdr:to>
    <xdr:sp macro="" textlink="'City Wise AQI'!E6">
      <xdr:nvSpPr>
        <xdr:cNvPr id="5" name="Rectangle: Rounded Corners 4">
          <a:extLst>
            <a:ext uri="{FF2B5EF4-FFF2-40B4-BE49-F238E27FC236}">
              <a16:creationId xmlns:a16="http://schemas.microsoft.com/office/drawing/2014/main" id="{DFC0A5FB-C65B-4DF4-9AE9-10A62B691D07}"/>
            </a:ext>
          </a:extLst>
        </xdr:cNvPr>
        <xdr:cNvSpPr/>
      </xdr:nvSpPr>
      <xdr:spPr>
        <a:xfrm>
          <a:off x="14143638" y="1520256"/>
          <a:ext cx="4215600" cy="1080000"/>
        </a:xfrm>
        <a:prstGeom prst="roundRect">
          <a:avLst/>
        </a:prstGeom>
        <a:solidFill>
          <a:schemeClr val="accent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i="0" u="none" strike="noStrike">
              <a:solidFill>
                <a:schemeClr val="bg1"/>
              </a:solidFill>
              <a:latin typeface="Arial" panose="020B0604020202020204" pitchFamily="34" charset="0"/>
              <a:ea typeface="Calibri"/>
              <a:cs typeface="Arial" panose="020B0604020202020204" pitchFamily="34" charset="0"/>
            </a:rPr>
            <a:t>Totao City</a:t>
          </a:r>
          <a:br>
            <a:rPr lang="en-US" sz="1800" b="1" i="0" u="none" strike="noStrike">
              <a:solidFill>
                <a:schemeClr val="bg1"/>
              </a:solidFill>
              <a:latin typeface="Arial" panose="020B0604020202020204" pitchFamily="34" charset="0"/>
              <a:ea typeface="Calibri"/>
              <a:cs typeface="Arial" panose="020B0604020202020204" pitchFamily="34" charset="0"/>
            </a:rPr>
          </a:br>
          <a:fld id="{0304B311-B800-49EC-A929-DAFFAD7FE164}" type="TxLink">
            <a:rPr lang="en-US" sz="1800" b="1" i="0" u="none" strike="noStrike">
              <a:solidFill>
                <a:schemeClr val="bg1"/>
              </a:solidFill>
              <a:latin typeface="Arial" panose="020B0604020202020204" pitchFamily="34" charset="0"/>
              <a:ea typeface="Calibri"/>
              <a:cs typeface="Arial" panose="020B0604020202020204" pitchFamily="34" charset="0"/>
            </a:rPr>
            <a:t>27</a:t>
          </a:fld>
          <a:endParaRPr lang="en-IN"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247650</xdr:colOff>
      <xdr:row>0</xdr:row>
      <xdr:rowOff>158750</xdr:rowOff>
    </xdr:from>
    <xdr:to>
      <xdr:col>39</xdr:col>
      <xdr:colOff>514350</xdr:colOff>
      <xdr:row>6</xdr:row>
      <xdr:rowOff>82550</xdr:rowOff>
    </xdr:to>
    <xdr:sp macro="" textlink="">
      <xdr:nvSpPr>
        <xdr:cNvPr id="6" name="Rectangle: Rounded Corners 5">
          <a:extLst>
            <a:ext uri="{FF2B5EF4-FFF2-40B4-BE49-F238E27FC236}">
              <a16:creationId xmlns:a16="http://schemas.microsoft.com/office/drawing/2014/main" id="{0A23FA45-F634-48F5-83F1-BC5851FA84D0}"/>
            </a:ext>
          </a:extLst>
        </xdr:cNvPr>
        <xdr:cNvSpPr/>
      </xdr:nvSpPr>
      <xdr:spPr>
        <a:xfrm>
          <a:off x="247650" y="158750"/>
          <a:ext cx="25812750" cy="1066800"/>
        </a:xfrm>
        <a:prstGeom prst="roundRect">
          <a:avLst/>
        </a:prstGeom>
        <a:solidFill>
          <a:schemeClr val="accent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500" b="1">
              <a:solidFill>
                <a:schemeClr val="bg1"/>
              </a:solidFill>
              <a:latin typeface="Calibri header"/>
            </a:rPr>
            <a:t>India AQI Dashboard | 2015–2020</a:t>
          </a:r>
        </a:p>
      </xdr:txBody>
    </xdr:sp>
    <xdr:clientData/>
  </xdr:twoCellAnchor>
  <xdr:twoCellAnchor>
    <xdr:from>
      <xdr:col>0</xdr:col>
      <xdr:colOff>238125</xdr:colOff>
      <xdr:row>14</xdr:row>
      <xdr:rowOff>126999</xdr:rowOff>
    </xdr:from>
    <xdr:to>
      <xdr:col>18</xdr:col>
      <xdr:colOff>399500</xdr:colOff>
      <xdr:row>30</xdr:row>
      <xdr:rowOff>174624</xdr:rowOff>
    </xdr:to>
    <xdr:graphicFrame macro="">
      <xdr:nvGraphicFramePr>
        <xdr:cNvPr id="19" name="Chart 18">
          <a:extLst>
            <a:ext uri="{FF2B5EF4-FFF2-40B4-BE49-F238E27FC236}">
              <a16:creationId xmlns:a16="http://schemas.microsoft.com/office/drawing/2014/main" id="{CE4E79AC-D450-4B19-AF04-8AC27B1A8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240926</xdr:colOff>
      <xdr:row>30</xdr:row>
      <xdr:rowOff>174624</xdr:rowOff>
    </xdr:from>
    <xdr:to>
      <xdr:col>18</xdr:col>
      <xdr:colOff>402301</xdr:colOff>
      <xdr:row>45</xdr:row>
      <xdr:rowOff>63499</xdr:rowOff>
    </xdr:to>
    <xdr:graphicFrame macro="">
      <xdr:nvGraphicFramePr>
        <xdr:cNvPr id="20" name="Chart 19">
          <a:extLst>
            <a:ext uri="{FF2B5EF4-FFF2-40B4-BE49-F238E27FC236}">
              <a16:creationId xmlns:a16="http://schemas.microsoft.com/office/drawing/2014/main" id="{350A3D82-09DE-4666-9791-A4970E925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420687</xdr:colOff>
      <xdr:row>14</xdr:row>
      <xdr:rowOff>127000</xdr:rowOff>
    </xdr:from>
    <xdr:to>
      <xdr:col>31</xdr:col>
      <xdr:colOff>275237</xdr:colOff>
      <xdr:row>30</xdr:row>
      <xdr:rowOff>174625</xdr:rowOff>
    </xdr:to>
    <xdr:graphicFrame macro="">
      <xdr:nvGraphicFramePr>
        <xdr:cNvPr id="21" name="Chart 20">
          <a:extLst>
            <a:ext uri="{FF2B5EF4-FFF2-40B4-BE49-F238E27FC236}">
              <a16:creationId xmlns:a16="http://schemas.microsoft.com/office/drawing/2014/main" id="{7FC60E92-D0D0-4DC8-B413-B306A4747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254000</xdr:colOff>
      <xdr:row>45</xdr:row>
      <xdr:rowOff>63500</xdr:rowOff>
    </xdr:from>
    <xdr:to>
      <xdr:col>18</xdr:col>
      <xdr:colOff>397375</xdr:colOff>
      <xdr:row>62</xdr:row>
      <xdr:rowOff>158750</xdr:rowOff>
    </xdr:to>
    <xdr:graphicFrame macro="">
      <xdr:nvGraphicFramePr>
        <xdr:cNvPr id="22" name="Chart 21">
          <a:extLst>
            <a:ext uri="{FF2B5EF4-FFF2-40B4-BE49-F238E27FC236}">
              <a16:creationId xmlns:a16="http://schemas.microsoft.com/office/drawing/2014/main" id="{E352588B-114F-4815-84A0-18E995F72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414804</xdr:colOff>
      <xdr:row>45</xdr:row>
      <xdr:rowOff>63500</xdr:rowOff>
    </xdr:from>
    <xdr:to>
      <xdr:col>31</xdr:col>
      <xdr:colOff>269875</xdr:colOff>
      <xdr:row>62</xdr:row>
      <xdr:rowOff>158600</xdr:rowOff>
    </xdr:to>
    <xdr:graphicFrame macro="">
      <xdr:nvGraphicFramePr>
        <xdr:cNvPr id="24" name="Chart 23">
          <a:extLst>
            <a:ext uri="{FF2B5EF4-FFF2-40B4-BE49-F238E27FC236}">
              <a16:creationId xmlns:a16="http://schemas.microsoft.com/office/drawing/2014/main" id="{B065C47E-EA02-4935-BABB-48B410D70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420685</xdr:colOff>
      <xdr:row>30</xdr:row>
      <xdr:rowOff>182562</xdr:rowOff>
    </xdr:from>
    <xdr:to>
      <xdr:col>31</xdr:col>
      <xdr:colOff>275235</xdr:colOff>
      <xdr:row>45</xdr:row>
      <xdr:rowOff>95250</xdr:rowOff>
    </xdr:to>
    <xdr:graphicFrame macro="">
      <xdr:nvGraphicFramePr>
        <xdr:cNvPr id="25" name="Chart 24">
          <a:extLst>
            <a:ext uri="{FF2B5EF4-FFF2-40B4-BE49-F238E27FC236}">
              <a16:creationId xmlns:a16="http://schemas.microsoft.com/office/drawing/2014/main" id="{0F257C8D-71EC-41D2-A3BE-D3D6C1C52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514350</xdr:colOff>
      <xdr:row>9</xdr:row>
      <xdr:rowOff>19050</xdr:rowOff>
    </xdr:from>
    <xdr:to>
      <xdr:col>34</xdr:col>
      <xdr:colOff>190500</xdr:colOff>
      <xdr:row>24</xdr:row>
      <xdr:rowOff>114300</xdr:rowOff>
    </xdr:to>
    <xdr:grpSp>
      <xdr:nvGrpSpPr>
        <xdr:cNvPr id="42" name="Group 41">
          <a:extLst>
            <a:ext uri="{FF2B5EF4-FFF2-40B4-BE49-F238E27FC236}">
              <a16:creationId xmlns:a16="http://schemas.microsoft.com/office/drawing/2014/main" id="{06C653C5-4E63-4F48-63D1-DA974393B497}"/>
            </a:ext>
          </a:extLst>
        </xdr:cNvPr>
        <xdr:cNvGrpSpPr/>
      </xdr:nvGrpSpPr>
      <xdr:grpSpPr>
        <a:xfrm>
          <a:off x="19038833" y="1792671"/>
          <a:ext cx="4077357" cy="3051284"/>
          <a:chOff x="18630900" y="1733550"/>
          <a:chExt cx="4057650" cy="2952750"/>
        </a:xfrm>
        <a:effectLst>
          <a:outerShdw blurRad="50800" dist="38100" dir="2700000" algn="tl" rotWithShape="0">
            <a:prstClr val="black">
              <a:alpha val="40000"/>
            </a:prstClr>
          </a:outerShdw>
        </a:effectLst>
      </xdr:grpSpPr>
      <xdr:grpSp>
        <xdr:nvGrpSpPr>
          <xdr:cNvPr id="41" name="Group 40">
            <a:extLst>
              <a:ext uri="{FF2B5EF4-FFF2-40B4-BE49-F238E27FC236}">
                <a16:creationId xmlns:a16="http://schemas.microsoft.com/office/drawing/2014/main" id="{1AC99784-6C41-0B9E-293F-B611DB9D208A}"/>
              </a:ext>
            </a:extLst>
          </xdr:cNvPr>
          <xdr:cNvGrpSpPr/>
        </xdr:nvGrpSpPr>
        <xdr:grpSpPr>
          <a:xfrm>
            <a:off x="18630900" y="1733550"/>
            <a:ext cx="4057650" cy="2952750"/>
            <a:chOff x="18630900" y="1733550"/>
            <a:chExt cx="4057650" cy="2952750"/>
          </a:xfrm>
        </xdr:grpSpPr>
        <xdr:sp macro="" textlink="">
          <xdr:nvSpPr>
            <xdr:cNvPr id="39" name="Rectangle 38">
              <a:extLst>
                <a:ext uri="{FF2B5EF4-FFF2-40B4-BE49-F238E27FC236}">
                  <a16:creationId xmlns:a16="http://schemas.microsoft.com/office/drawing/2014/main" id="{D77D9A63-352E-21F2-9DE3-30F7F2B3D6C3}"/>
                </a:ext>
              </a:extLst>
            </xdr:cNvPr>
            <xdr:cNvSpPr/>
          </xdr:nvSpPr>
          <xdr:spPr>
            <a:xfrm>
              <a:off x="18630900" y="1733550"/>
              <a:ext cx="4057650" cy="2952750"/>
            </a:xfrm>
            <a:prstGeom prst="rect">
              <a:avLst/>
            </a:prstGeom>
            <a:solidFill>
              <a:srgbClr val="F3F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3" name="Group 32">
              <a:extLst>
                <a:ext uri="{FF2B5EF4-FFF2-40B4-BE49-F238E27FC236}">
                  <a16:creationId xmlns:a16="http://schemas.microsoft.com/office/drawing/2014/main" id="{C5818F7A-D81E-73CC-6E56-29032E55CD21}"/>
                </a:ext>
              </a:extLst>
            </xdr:cNvPr>
            <xdr:cNvGrpSpPr/>
          </xdr:nvGrpSpPr>
          <xdr:grpSpPr>
            <a:xfrm>
              <a:off x="18781938" y="2511877"/>
              <a:ext cx="3702505" cy="2073729"/>
              <a:chOff x="18833645" y="2797627"/>
              <a:chExt cx="3697063" cy="2073729"/>
            </a:xfrm>
          </xdr:grpSpPr>
          <mc:AlternateContent xmlns:mc="http://schemas.openxmlformats.org/markup-compatibility/2006">
            <mc:Choice xmlns:a14="http://schemas.microsoft.com/office/drawing/2010/main" Requires="a14">
              <xdr:graphicFrame macro="">
                <xdr:nvGraphicFramePr>
                  <xdr:cNvPr id="27" name="Year">
                    <a:extLst>
                      <a:ext uri="{FF2B5EF4-FFF2-40B4-BE49-F238E27FC236}">
                        <a16:creationId xmlns:a16="http://schemas.microsoft.com/office/drawing/2014/main" id="{4EF1CAC3-C67F-D192-BA74-25773FFC5588}"/>
                      </a:ext>
                    </a:extLst>
                  </xdr:cNvPr>
                  <xdr:cNvGraphicFramePr/>
                </xdr:nvGraphicFramePr>
                <xdr:xfrm>
                  <a:off x="18833645" y="2797627"/>
                  <a:ext cx="1828800" cy="2073729"/>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190605" y="2596971"/>
                    <a:ext cx="1840387" cy="2142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Month">
                    <a:extLst>
                      <a:ext uri="{FF2B5EF4-FFF2-40B4-BE49-F238E27FC236}">
                        <a16:creationId xmlns:a16="http://schemas.microsoft.com/office/drawing/2014/main" id="{0D4F3E93-3028-C7D8-900B-C61D11845E4B}"/>
                      </a:ext>
                    </a:extLst>
                  </xdr:cNvPr>
                  <xdr:cNvGraphicFramePr/>
                </xdr:nvGraphicFramePr>
                <xdr:xfrm>
                  <a:off x="20701908" y="2801711"/>
                  <a:ext cx="1828800" cy="2069645"/>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070705" y="2601191"/>
                    <a:ext cx="1840387" cy="2138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36" name="Rectangle: Rounded Corners 35">
            <a:extLst>
              <a:ext uri="{FF2B5EF4-FFF2-40B4-BE49-F238E27FC236}">
                <a16:creationId xmlns:a16="http://schemas.microsoft.com/office/drawing/2014/main" id="{00F4056E-C377-FF4A-2F57-210CCC692B44}"/>
              </a:ext>
            </a:extLst>
          </xdr:cNvPr>
          <xdr:cNvSpPr/>
        </xdr:nvSpPr>
        <xdr:spPr>
          <a:xfrm>
            <a:off x="19311258" y="1782537"/>
            <a:ext cx="2415267" cy="622526"/>
          </a:xfrm>
          <a:prstGeom prst="roundRect">
            <a:avLst/>
          </a:prstGeom>
          <a:solidFill>
            <a:schemeClr val="bg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latin typeface="Arial" panose="020B0604020202020204" pitchFamily="34" charset="0"/>
                <a:cs typeface="Arial" panose="020B0604020202020204" pitchFamily="34" charset="0"/>
              </a:rPr>
              <a:t>Time Filter</a:t>
            </a:r>
          </a:p>
        </xdr:txBody>
      </xdr:sp>
    </xdr:grpSp>
    <xdr:clientData/>
  </xdr:twoCellAnchor>
  <xdr:twoCellAnchor>
    <xdr:from>
      <xdr:col>34</xdr:col>
      <xdr:colOff>438150</xdr:colOff>
      <xdr:row>9</xdr:row>
      <xdr:rowOff>38100</xdr:rowOff>
    </xdr:from>
    <xdr:to>
      <xdr:col>41</xdr:col>
      <xdr:colOff>228600</xdr:colOff>
      <xdr:row>24</xdr:row>
      <xdr:rowOff>133350</xdr:rowOff>
    </xdr:to>
    <xdr:grpSp>
      <xdr:nvGrpSpPr>
        <xdr:cNvPr id="45" name="Group 44">
          <a:extLst>
            <a:ext uri="{FF2B5EF4-FFF2-40B4-BE49-F238E27FC236}">
              <a16:creationId xmlns:a16="http://schemas.microsoft.com/office/drawing/2014/main" id="{9B9C92FB-9A12-B175-63B4-2F987B8CC551}"/>
            </a:ext>
          </a:extLst>
        </xdr:cNvPr>
        <xdr:cNvGrpSpPr/>
      </xdr:nvGrpSpPr>
      <xdr:grpSpPr>
        <a:xfrm>
          <a:off x="23363840" y="1811721"/>
          <a:ext cx="4158812" cy="3051284"/>
          <a:chOff x="22707600" y="1733550"/>
          <a:chExt cx="4057650" cy="2952750"/>
        </a:xfrm>
        <a:effectLst>
          <a:outerShdw blurRad="50800" dist="38100" dir="2700000" algn="tl" rotWithShape="0">
            <a:prstClr val="black">
              <a:alpha val="40000"/>
            </a:prstClr>
          </a:outerShdw>
        </a:effectLst>
      </xdr:grpSpPr>
      <xdr:grpSp>
        <xdr:nvGrpSpPr>
          <xdr:cNvPr id="44" name="Group 43">
            <a:extLst>
              <a:ext uri="{FF2B5EF4-FFF2-40B4-BE49-F238E27FC236}">
                <a16:creationId xmlns:a16="http://schemas.microsoft.com/office/drawing/2014/main" id="{77817423-D66C-EC0D-8FD8-4B658A0100E6}"/>
              </a:ext>
            </a:extLst>
          </xdr:cNvPr>
          <xdr:cNvGrpSpPr/>
        </xdr:nvGrpSpPr>
        <xdr:grpSpPr>
          <a:xfrm>
            <a:off x="22707600" y="1733550"/>
            <a:ext cx="4057650" cy="2952750"/>
            <a:chOff x="22707600" y="1733550"/>
            <a:chExt cx="4057650" cy="2952750"/>
          </a:xfrm>
        </xdr:grpSpPr>
        <xdr:sp macro="" textlink="">
          <xdr:nvSpPr>
            <xdr:cNvPr id="43" name="Rectangle 42">
              <a:extLst>
                <a:ext uri="{FF2B5EF4-FFF2-40B4-BE49-F238E27FC236}">
                  <a16:creationId xmlns:a16="http://schemas.microsoft.com/office/drawing/2014/main" id="{3C9E90A7-2CC4-4E4B-8E75-76870ECA650E}"/>
                </a:ext>
              </a:extLst>
            </xdr:cNvPr>
            <xdr:cNvSpPr/>
          </xdr:nvSpPr>
          <xdr:spPr>
            <a:xfrm>
              <a:off x="22707600" y="1733550"/>
              <a:ext cx="4057650" cy="2952750"/>
            </a:xfrm>
            <a:prstGeom prst="rect">
              <a:avLst/>
            </a:prstGeom>
            <a:solidFill>
              <a:srgbClr val="F3F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4" name="Group 33">
              <a:extLst>
                <a:ext uri="{FF2B5EF4-FFF2-40B4-BE49-F238E27FC236}">
                  <a16:creationId xmlns:a16="http://schemas.microsoft.com/office/drawing/2014/main" id="{D579A827-11CF-4A31-D8B9-399AEFF4A760}"/>
                </a:ext>
              </a:extLst>
            </xdr:cNvPr>
            <xdr:cNvGrpSpPr/>
          </xdr:nvGrpSpPr>
          <xdr:grpSpPr>
            <a:xfrm>
              <a:off x="22972939" y="2481942"/>
              <a:ext cx="3680730" cy="2198915"/>
              <a:chOff x="22545675" y="2794906"/>
              <a:chExt cx="3697059" cy="4644000"/>
            </a:xfrm>
          </xdr:grpSpPr>
          <mc:AlternateContent xmlns:mc="http://schemas.openxmlformats.org/markup-compatibility/2006">
            <mc:Choice xmlns:a14="http://schemas.microsoft.com/office/drawing/2010/main" Requires="a14">
              <xdr:graphicFrame macro="">
                <xdr:nvGraphicFramePr>
                  <xdr:cNvPr id="26" name="City">
                    <a:extLst>
                      <a:ext uri="{FF2B5EF4-FFF2-40B4-BE49-F238E27FC236}">
                        <a16:creationId xmlns:a16="http://schemas.microsoft.com/office/drawing/2014/main" id="{45687A3D-7768-F777-DA48-511C4719C3B7}"/>
                      </a:ext>
                    </a:extLst>
                  </xdr:cNvPr>
                  <xdr:cNvGraphicFramePr/>
                </xdr:nvGraphicFramePr>
                <xdr:xfrm>
                  <a:off x="22545675" y="2794906"/>
                  <a:ext cx="1836964" cy="464400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3635794" y="2585087"/>
                    <a:ext cx="1874446" cy="2272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State">
                    <a:extLst>
                      <a:ext uri="{FF2B5EF4-FFF2-40B4-BE49-F238E27FC236}">
                        <a16:creationId xmlns:a16="http://schemas.microsoft.com/office/drawing/2014/main" id="{FB875FAD-BC49-67FC-40B3-129208CACAB9}"/>
                      </a:ext>
                    </a:extLst>
                  </xdr:cNvPr>
                  <xdr:cNvGraphicFramePr/>
                </xdr:nvGraphicFramePr>
                <xdr:xfrm>
                  <a:off x="24419376" y="2796268"/>
                  <a:ext cx="1823358" cy="4619626"/>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5547727" y="2585753"/>
                    <a:ext cx="1860562" cy="2260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37" name="Rectangle: Rounded Corners 36">
            <a:extLst>
              <a:ext uri="{FF2B5EF4-FFF2-40B4-BE49-F238E27FC236}">
                <a16:creationId xmlns:a16="http://schemas.microsoft.com/office/drawing/2014/main" id="{D82CA114-5E6E-4570-B64C-D48A53A83E68}"/>
              </a:ext>
            </a:extLst>
          </xdr:cNvPr>
          <xdr:cNvSpPr/>
        </xdr:nvSpPr>
        <xdr:spPr>
          <a:xfrm>
            <a:off x="23627442" y="1744436"/>
            <a:ext cx="2377500" cy="622800"/>
          </a:xfrm>
          <a:prstGeom prst="roundRect">
            <a:avLst/>
          </a:prstGeom>
          <a:solidFill>
            <a:schemeClr val="bg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latin typeface="Arial" panose="020B0604020202020204" pitchFamily="34" charset="0"/>
                <a:cs typeface="Arial" panose="020B0604020202020204" pitchFamily="34" charset="0"/>
              </a:rPr>
              <a:t>Location</a:t>
            </a:r>
            <a:r>
              <a:rPr lang="en-IN" sz="2000" b="1" baseline="0">
                <a:solidFill>
                  <a:schemeClr val="tx1"/>
                </a:solidFill>
                <a:latin typeface="Arial" panose="020B0604020202020204" pitchFamily="34" charset="0"/>
                <a:cs typeface="Arial" panose="020B0604020202020204" pitchFamily="34" charset="0"/>
              </a:rPr>
              <a:t> Filter</a:t>
            </a:r>
            <a:endParaRPr lang="en-IN" sz="2000" b="1">
              <a:solidFill>
                <a:schemeClr val="tx1"/>
              </a:solidFill>
              <a:latin typeface="Arial" panose="020B0604020202020204" pitchFamily="34" charset="0"/>
              <a:cs typeface="Arial" panose="020B0604020202020204" pitchFamily="34" charset="0"/>
            </a:endParaRPr>
          </a:p>
        </xdr:txBody>
      </xdr:sp>
    </xdr:grpSp>
    <xdr:clientData/>
  </xdr:twoCellAnchor>
  <xdr:twoCellAnchor>
    <xdr:from>
      <xdr:col>31</xdr:col>
      <xdr:colOff>533400</xdr:colOff>
      <xdr:row>25</xdr:row>
      <xdr:rowOff>171450</xdr:rowOff>
    </xdr:from>
    <xdr:to>
      <xdr:col>34</xdr:col>
      <xdr:colOff>209550</xdr:colOff>
      <xdr:row>38</xdr:row>
      <xdr:rowOff>171450</xdr:rowOff>
    </xdr:to>
    <xdr:grpSp>
      <xdr:nvGrpSpPr>
        <xdr:cNvPr id="62" name="Group 61">
          <a:extLst>
            <a:ext uri="{FF2B5EF4-FFF2-40B4-BE49-F238E27FC236}">
              <a16:creationId xmlns:a16="http://schemas.microsoft.com/office/drawing/2014/main" id="{24F06377-ABDA-599D-AC15-DF56A72F2530}"/>
            </a:ext>
          </a:extLst>
        </xdr:cNvPr>
        <xdr:cNvGrpSpPr/>
      </xdr:nvGrpSpPr>
      <xdr:grpSpPr>
        <a:xfrm>
          <a:off x="19057883" y="5098174"/>
          <a:ext cx="4077357" cy="2561897"/>
          <a:chOff x="18649950" y="4933950"/>
          <a:chExt cx="4057650" cy="2476500"/>
        </a:xfrm>
        <a:effectLst>
          <a:outerShdw blurRad="50800" dist="38100" dir="2700000" algn="tl" rotWithShape="0">
            <a:prstClr val="black">
              <a:alpha val="40000"/>
            </a:prstClr>
          </a:outerShdw>
        </a:effectLst>
      </xdr:grpSpPr>
      <xdr:grpSp>
        <xdr:nvGrpSpPr>
          <xdr:cNvPr id="61" name="Group 60">
            <a:extLst>
              <a:ext uri="{FF2B5EF4-FFF2-40B4-BE49-F238E27FC236}">
                <a16:creationId xmlns:a16="http://schemas.microsoft.com/office/drawing/2014/main" id="{E7150190-EF41-C3FF-2387-5FD6346285AD}"/>
              </a:ext>
            </a:extLst>
          </xdr:cNvPr>
          <xdr:cNvGrpSpPr/>
        </xdr:nvGrpSpPr>
        <xdr:grpSpPr>
          <a:xfrm>
            <a:off x="18649950" y="4933950"/>
            <a:ext cx="4057650" cy="2476500"/>
            <a:chOff x="18649950" y="4933950"/>
            <a:chExt cx="4057650" cy="2476500"/>
          </a:xfrm>
        </xdr:grpSpPr>
        <xdr:sp macro="" textlink="">
          <xdr:nvSpPr>
            <xdr:cNvPr id="60" name="Rectangle 59">
              <a:extLst>
                <a:ext uri="{FF2B5EF4-FFF2-40B4-BE49-F238E27FC236}">
                  <a16:creationId xmlns:a16="http://schemas.microsoft.com/office/drawing/2014/main" id="{63AD05C7-1EC1-454D-AA73-DB8EFDE829C5}"/>
                </a:ext>
              </a:extLst>
            </xdr:cNvPr>
            <xdr:cNvSpPr/>
          </xdr:nvSpPr>
          <xdr:spPr>
            <a:xfrm>
              <a:off x="18649950" y="4933950"/>
              <a:ext cx="4057650" cy="2476500"/>
            </a:xfrm>
            <a:prstGeom prst="rect">
              <a:avLst/>
            </a:prstGeom>
            <a:solidFill>
              <a:srgbClr val="F3F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5" name="Group 34">
              <a:extLst>
                <a:ext uri="{FF2B5EF4-FFF2-40B4-BE49-F238E27FC236}">
                  <a16:creationId xmlns:a16="http://schemas.microsoft.com/office/drawing/2014/main" id="{0A5D30FA-C3ED-A562-8774-381123EEFEA9}"/>
                </a:ext>
              </a:extLst>
            </xdr:cNvPr>
            <xdr:cNvGrpSpPr/>
          </xdr:nvGrpSpPr>
          <xdr:grpSpPr>
            <a:xfrm>
              <a:off x="18813234" y="5852433"/>
              <a:ext cx="3692979" cy="1236888"/>
              <a:chOff x="18824120" y="5076826"/>
              <a:chExt cx="3690258" cy="1236888"/>
            </a:xfrm>
          </xdr:grpSpPr>
          <mc:AlternateContent xmlns:mc="http://schemas.openxmlformats.org/markup-compatibility/2006">
            <mc:Choice xmlns:a14="http://schemas.microsoft.com/office/drawing/2010/main" Requires="a14">
              <xdr:graphicFrame macro="">
                <xdr:nvGraphicFramePr>
                  <xdr:cNvPr id="28" name="AQI_Bucket">
                    <a:extLst>
                      <a:ext uri="{FF2B5EF4-FFF2-40B4-BE49-F238E27FC236}">
                        <a16:creationId xmlns:a16="http://schemas.microsoft.com/office/drawing/2014/main" id="{0C475D56-FD33-0B93-D464-68ADC03D4F6C}"/>
                      </a:ext>
                    </a:extLst>
                  </xdr:cNvPr>
                  <xdr:cNvGraphicFramePr/>
                </xdr:nvGraphicFramePr>
                <xdr:xfrm>
                  <a:off x="20685578" y="5082267"/>
                  <a:ext cx="1828800" cy="1231447"/>
                </xdr:xfrm>
                <a:graphic>
                  <a:graphicData uri="http://schemas.microsoft.com/office/drawing/2010/slicer">
                    <sle:slicer xmlns:sle="http://schemas.microsoft.com/office/drawing/2010/slicer" name="AQI_Bucket"/>
                  </a:graphicData>
                </a:graphic>
              </xdr:graphicFrame>
            </mc:Choice>
            <mc:Fallback>
              <xdr:sp macro="" textlink="">
                <xdr:nvSpPr>
                  <xdr:cNvPr id="0" name=""/>
                  <xdr:cNvSpPr>
                    <a:spLocks noTextEdit="1"/>
                  </xdr:cNvSpPr>
                </xdr:nvSpPr>
                <xdr:spPr>
                  <a:xfrm>
                    <a:off x="21093838" y="6053958"/>
                    <a:ext cx="1839037" cy="1273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Pollutant">
                    <a:extLst>
                      <a:ext uri="{FF2B5EF4-FFF2-40B4-BE49-F238E27FC236}">
                        <a16:creationId xmlns:a16="http://schemas.microsoft.com/office/drawing/2014/main" id="{B91E4DE1-AC07-9C6E-5F1E-CD690182A7EF}"/>
                      </a:ext>
                    </a:extLst>
                  </xdr:cNvPr>
                  <xdr:cNvGraphicFramePr/>
                </xdr:nvGraphicFramePr>
                <xdr:xfrm>
                  <a:off x="18824120" y="5076826"/>
                  <a:ext cx="1828800" cy="1236888"/>
                </xdr:xfrm>
                <a:graphic>
                  <a:graphicData uri="http://schemas.microsoft.com/office/drawing/2010/slicer">
                    <sle:slicer xmlns:sle="http://schemas.microsoft.com/office/drawing/2010/slicer" name="Pollutant"/>
                  </a:graphicData>
                </a:graphic>
              </xdr:graphicFrame>
            </mc:Choice>
            <mc:Fallback>
              <xdr:sp macro="" textlink="">
                <xdr:nvSpPr>
                  <xdr:cNvPr id="0" name=""/>
                  <xdr:cNvSpPr>
                    <a:spLocks noTextEdit="1"/>
                  </xdr:cNvSpPr>
                </xdr:nvSpPr>
                <xdr:spPr>
                  <a:xfrm>
                    <a:off x="19221960" y="6048329"/>
                    <a:ext cx="1839037" cy="1279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38" name="Rectangle: Rounded Corners 37">
            <a:extLst>
              <a:ext uri="{FF2B5EF4-FFF2-40B4-BE49-F238E27FC236}">
                <a16:creationId xmlns:a16="http://schemas.microsoft.com/office/drawing/2014/main" id="{9F5EAB8A-5C57-4AC7-AA72-191D07335450}"/>
              </a:ext>
            </a:extLst>
          </xdr:cNvPr>
          <xdr:cNvSpPr/>
        </xdr:nvSpPr>
        <xdr:spPr>
          <a:xfrm>
            <a:off x="19425556" y="5148944"/>
            <a:ext cx="2415600" cy="622800"/>
          </a:xfrm>
          <a:prstGeom prst="roundRect">
            <a:avLst/>
          </a:prstGeom>
          <a:solidFill>
            <a:schemeClr val="bg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latin typeface="Arial" panose="020B0604020202020204" pitchFamily="34" charset="0"/>
                <a:cs typeface="Arial" panose="020B0604020202020204" pitchFamily="34" charset="0"/>
              </a:rPr>
              <a:t>AQI Filter</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MD-308" refreshedDate="46039.561259953705" backgroundQuery="1" createdVersion="8" refreshedVersion="8" minRefreshableVersion="3" recordCount="0" supportSubquery="1" supportAdvancedDrill="1" xr:uid="{328803B0-2544-45F7-BE99-1EBFD821F2EE}">
  <cacheSource type="external" connectionId="1"/>
  <cacheFields count="2">
    <cacheField name="[Table3].[AQI_Bucket].[AQI_Bucket]" caption="AQI_Bucket" numFmtId="0" hierarchy="7" level="1">
      <sharedItems count="3">
        <s v="Poor"/>
        <s v="Severe"/>
        <s v="Very Poor"/>
      </sharedItems>
    </cacheField>
    <cacheField name="[Measures].[Sum of Total_Days 2]" caption="Sum of Total_Days 2" numFmtId="0" hierarchy="26" level="32767"/>
  </cacheFields>
  <cacheHierarchies count="37">
    <cacheHierarchy uniqueName="[Table1].[City]" caption="City" attribute="1" defaultMemberUniqueName="[Table1].[City].[All]" allUniqueName="[Table1].[Cit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vg_AQI]" caption="Avg_AQI" attribute="1" defaultMemberUniqueName="[Table1].[Avg_AQI].[All]" allUniqueName="[Table1].[Avg_AQI].[All]" dimensionUniqueName="[Table1]" displayFolder="" count="2" memberValueDatatype="5" unbalanced="0"/>
    <cacheHierarchy uniqueName="[Table2].[City]" caption="City" attribute="1" defaultMemberUniqueName="[Table2].[City].[All]" allUniqueName="[Table2].[City].[All]" dimensionUniqueName="[Table2]" displayFolder="" count="2" memberValueDatatype="130" unbalanced="0"/>
    <cacheHierarchy uniqueName="[Table2].[AQI_Bucket]" caption="AQI_Bucket" attribute="1" defaultMemberUniqueName="[Table2].[AQI_Bucket].[All]" allUniqueName="[Table2].[AQI_Bucket].[All]" dimensionUniqueName="[Table2]" displayFolder="" count="2" memberValueDatatype="130" unbalanced="0"/>
    <cacheHierarchy uniqueName="[Table2].[Total_Days]" caption="Total_Days" attribute="1" defaultMemberUniqueName="[Table2].[Total_Days].[All]" allUniqueName="[Table2].[Total_Days].[All]" dimensionUniqueName="[Table2]" displayFolder="" count="2" memberValueDatatype="20" unbalanced="0"/>
    <cacheHierarchy uniqueName="[Table3].[City]" caption="City" attribute="1" defaultMemberUniqueName="[Table3].[City].[All]" allUniqueName="[Table3].[City].[All]" dimensionUniqueName="[Table3]" displayFolder="" count="2" memberValueDatatype="130" unbalanced="0"/>
    <cacheHierarchy uniqueName="[Table3].[AQI_Bucket]" caption="AQI_Bucket" attribute="1" defaultMemberUniqueName="[Table3].[AQI_Bucket].[All]" allUniqueName="[Table3].[AQI_Bucket].[All]" dimensionUniqueName="[Table3]" displayFolder="" count="2" memberValueDatatype="130" unbalanced="0">
      <fieldsUsage count="2">
        <fieldUsage x="-1"/>
        <fieldUsage x="0"/>
      </fieldsUsage>
    </cacheHierarchy>
    <cacheHierarchy uniqueName="[Table3].[Total_Days]" caption="Total_Days" attribute="1" defaultMemberUniqueName="[Table3].[Total_Days].[All]" allUniqueName="[Table3].[Total_Days].[All]" dimensionUniqueName="[Table3]" displayFolder="" count="2" memberValueDatatype="20" unbalanced="0"/>
    <cacheHierarchy uniqueName="[Table4].[Month]" caption="Month" attribute="1" defaultMemberUniqueName="[Table4].[Month].[All]" allUniqueName="[Table4].[Month].[All]" dimensionUniqueName="[Table4]" displayFolder="" count="2" memberValueDatatype="130" unbalanced="0"/>
    <cacheHierarchy uniqueName="[Table4].[Avg_PM2_5]" caption="Avg_PM2_5" attribute="1" defaultMemberUniqueName="[Table4].[Avg_PM2_5].[All]" allUniqueName="[Table4].[Avg_PM2_5].[All]" dimensionUniqueName="[Table4]" displayFolder="" count="2" memberValueDatatype="5" unbalanced="0"/>
    <cacheHierarchy uniqueName="[Table4].[Avg_PM10]" caption="Avg_PM10" attribute="1" defaultMemberUniqueName="[Table4].[Avg_PM10].[All]" allUniqueName="[Table4].[Avg_PM10].[All]" dimensionUniqueName="[Table4]" displayFolder="" count="2" memberValueDatatype="5" unbalanced="0"/>
    <cacheHierarchy uniqueName="[Table5].[Pollutant]" caption="Pollutant" attribute="1" defaultMemberUniqueName="[Table5].[Pollutant].[All]" allUniqueName="[Table5].[Pollutant].[All]" dimensionUniqueName="[Table5]" displayFolder="" count="2" memberValueDatatype="130" unbalanced="0"/>
    <cacheHierarchy uniqueName="[Table5].[Frequency]" caption="Frequency" attribute="1" defaultMemberUniqueName="[Table5].[Frequency].[All]" allUniqueName="[Table5].[Frequency].[All]" dimensionUniqueName="[Table5]" displayFolder="" count="2" memberValueDatatype="20" unbalanced="0"/>
    <cacheHierarchy uniqueName="[Table6].[State]" caption="State" attribute="1" defaultMemberUniqueName="[Table6].[State].[All]" allUniqueName="[Table6].[State].[All]" dimensionUniqueName="[Table6]" displayFolder="" count="2" memberValueDatatype="130" unbalanced="0"/>
    <cacheHierarchy uniqueName="[Table6].[Cnt_Stations]" caption="Cnt_Stations" attribute="1" defaultMemberUniqueName="[Table6].[Cnt_Stations].[All]" allUniqueName="[Table6].[Cnt_Stations].[All]" dimensionUniqueName="[Table6]" displayFolder="" count="2" memberValueDatatype="20" unbalanced="0"/>
    <cacheHierarchy uniqueName="[Table6].[Avg_AQI]" caption="Avg_AQI" attribute="1" defaultMemberUniqueName="[Table6].[Avg_AQI].[All]" allUniqueName="[Table6].[Avg_AQI].[All]" dimensionUniqueName="[Table6]" displayFolder="" count="2"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AQI]" caption="Sum of Avg_AQI" measure="1" displayFolder="" measureGroup="Table1" count="0" hidden="1">
      <extLst>
        <ext xmlns:x15="http://schemas.microsoft.com/office/spreadsheetml/2010/11/main" uri="{B97F6D7D-B522-45F9-BDA1-12C45D357490}">
          <x15:cacheHierarchy aggregatedColumn="2"/>
        </ext>
      </extLst>
    </cacheHierarchy>
    <cacheHierarchy uniqueName="[Measures].[Sum of Total_Days]" caption="Sum of Total_Days" measure="1" displayFolder="" measureGroup="Table2" count="0" hidden="1">
      <extLst>
        <ext xmlns:x15="http://schemas.microsoft.com/office/spreadsheetml/2010/11/main" uri="{B97F6D7D-B522-45F9-BDA1-12C45D357490}">
          <x15:cacheHierarchy aggregatedColumn="5"/>
        </ext>
      </extLst>
    </cacheHierarchy>
    <cacheHierarchy uniqueName="[Measures].[Sum of Total_Days 2]" caption="Sum of Total_Days 2" measure="1" displayFolder="" measureGroup="Table3"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vg_PM2_5]" caption="Sum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Avg_PM10]" caption="Sum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10]" caption="Average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2_5]" caption="Average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Cnt_Stations]" caption="Sum of Cnt_Stations" measure="1" displayFolder="" measureGroup="Table6" count="0" hidden="1">
      <extLst>
        <ext xmlns:x15="http://schemas.microsoft.com/office/spreadsheetml/2010/11/main" uri="{B97F6D7D-B522-45F9-BDA1-12C45D357490}">
          <x15:cacheHierarchy aggregatedColumn="15"/>
        </ext>
      </extLst>
    </cacheHierarchy>
    <cacheHierarchy uniqueName="[Measures].[Sum of Avg_AQI 2]" caption="Sum of Avg_AQI 2" measure="1" displayFolder="" measureGroup="Table6" count="0" hidden="1">
      <extLst>
        <ext xmlns:x15="http://schemas.microsoft.com/office/spreadsheetml/2010/11/main" uri="{B97F6D7D-B522-45F9-BDA1-12C45D357490}">
          <x15:cacheHierarchy aggregatedColumn="16"/>
        </ext>
      </extLst>
    </cacheHierarchy>
    <cacheHierarchy uniqueName="[Measures].[Count of Cnt_Stations]" caption="Count of Cnt_Stations" measure="1" displayFolder="" measureGroup="Table6" count="0" hidden="1">
      <extLst>
        <ext xmlns:x15="http://schemas.microsoft.com/office/spreadsheetml/2010/11/main" uri="{B97F6D7D-B522-45F9-BDA1-12C45D357490}">
          <x15:cacheHierarchy aggregatedColumn="15"/>
        </ext>
      </extLst>
    </cacheHierarchy>
    <cacheHierarchy uniqueName="[Measures].[Average of Avg_AQI]" caption="Average of Avg_AQI" measure="1" displayFolder="" measureGroup="Table6" count="0" hidden="1">
      <extLst>
        <ext xmlns:x15="http://schemas.microsoft.com/office/spreadsheetml/2010/11/main" uri="{B97F6D7D-B522-45F9-BDA1-12C45D357490}">
          <x15:cacheHierarchy aggregatedColumn="16"/>
        </ext>
      </extLst>
    </cacheHierarchy>
    <cacheHierarchy uniqueName="[Measures].[Average of Avg_AQI 2]" caption="Average of Avg_AQI 2" measure="1" displayFolder="" measureGroup="Table1" count="0" hidden="1">
      <extLst>
        <ext xmlns:x15="http://schemas.microsoft.com/office/spreadsheetml/2010/11/main" uri="{B97F6D7D-B522-45F9-BDA1-12C45D357490}">
          <x15:cacheHierarchy aggregatedColumn="2"/>
        </ext>
      </extLst>
    </cacheHierarchy>
    <cacheHierarchy uniqueName="[Measures].[Sum of Frequency]" caption="Sum of Frequency" measure="1" displayFolder="" measureGroup="Table5" count="0" hidden="1">
      <extLst>
        <ext xmlns:x15="http://schemas.microsoft.com/office/spreadsheetml/2010/11/main" uri="{B97F6D7D-B522-45F9-BDA1-12C45D357490}">
          <x15:cacheHierarchy aggregatedColumn="13"/>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MD-308" refreshedDate="46039.561260995368" backgroundQuery="1" createdVersion="8" refreshedVersion="8" minRefreshableVersion="3" recordCount="0" supportSubquery="1" supportAdvancedDrill="1" xr:uid="{46EA9457-22F9-45E2-93F3-470B4D013E24}">
  <cacheSource type="external" connectionId="1"/>
  <cacheFields count="4">
    <cacheField name="[Table1].[Year].[Year]" caption="Year" numFmtId="0" hierarchy="1" level="1">
      <sharedItems containsSemiMixedTypes="0" containsString="0" containsNumber="1" containsInteger="1" minValue="2015" maxValue="2020" count="6">
        <n v="2015"/>
        <n v="2016"/>
        <n v="2017"/>
        <n v="2018"/>
        <n v="2019"/>
        <n v="2020"/>
      </sharedItems>
      <extLst>
        <ext xmlns:x15="http://schemas.microsoft.com/office/spreadsheetml/2010/11/main" uri="{4F2E5C28-24EA-4eb8-9CBF-B6C8F9C3D259}">
          <x15:cachedUniqueNames>
            <x15:cachedUniqueName index="0" name="[Table1].[Year].&amp;[2015]"/>
            <x15:cachedUniqueName index="1" name="[Table1].[Year].&amp;[2016]"/>
            <x15:cachedUniqueName index="2" name="[Table1].[Year].&amp;[2017]"/>
            <x15:cachedUniqueName index="3" name="[Table1].[Year].&amp;[2018]"/>
            <x15:cachedUniqueName index="4" name="[Table1].[Year].&amp;[2019]"/>
            <x15:cachedUniqueName index="5" name="[Table1].[Year].&amp;[2020]"/>
          </x15:cachedUniqueNames>
        </ext>
      </extLst>
    </cacheField>
    <cacheField name="[Table1].[City].[City]" caption="City" numFmtId="0" level="1">
      <sharedItems count="26">
        <s v="Ahmedabad"/>
        <s v="Aizawl"/>
        <s v="Amaravati"/>
        <s v="Amritsar"/>
        <s v="Bengaluru"/>
        <s v="Bhopal"/>
        <s v="Brajrajnagar"/>
        <s v="Chandigarh"/>
        <s v="Chennai"/>
        <s v="Coimbatore"/>
        <s v="Delhi"/>
        <s v="Ernakulam"/>
        <s v="Gurugram"/>
        <s v="Guwahati"/>
        <s v="Hyderabad"/>
        <s v="Jaipur"/>
        <s v="Jorapokhar"/>
        <s v="Kochi"/>
        <s v="Kolkata"/>
        <s v="Lucknow"/>
        <s v="Mumbai"/>
        <s v="Patna"/>
        <s v="Shillong"/>
        <s v="Talcher"/>
        <s v="Thiruvananthapuram"/>
        <s v="Visakhapatnam"/>
      </sharedItems>
    </cacheField>
    <cacheField name="[Measures].[Sum of Avg_AQI]" caption="Sum of Avg_AQI" numFmtId="0" hierarchy="24" level="32767"/>
    <cacheField name="[Table3].[AQI_Bucket].[AQI_Bucket]" caption="AQI_Bucket" numFmtId="0" hierarchy="7" level="1">
      <sharedItems containsSemiMixedTypes="0" containsNonDate="0" containsString="0"/>
    </cacheField>
  </cacheFields>
  <cacheHierarchies count="37">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Avg_AQI]" caption="Avg_AQI" attribute="1" defaultMemberUniqueName="[Table1].[Avg_AQI].[All]" allUniqueName="[Table1].[Avg_AQI].[All]" dimensionUniqueName="[Table1]" displayFolder="" count="2" memberValueDatatype="5" unbalanced="0"/>
    <cacheHierarchy uniqueName="[Table2].[City]" caption="City" attribute="1" defaultMemberUniqueName="[Table2].[City].[All]" allUniqueName="[Table2].[City].[All]" dimensionUniqueName="[Table2]" displayFolder="" count="2" memberValueDatatype="130" unbalanced="0"/>
    <cacheHierarchy uniqueName="[Table2].[AQI_Bucket]" caption="AQI_Bucket" attribute="1" defaultMemberUniqueName="[Table2].[AQI_Bucket].[All]" allUniqueName="[Table2].[AQI_Bucket].[All]" dimensionUniqueName="[Table2]" displayFolder="" count="2" memberValueDatatype="130" unbalanced="0"/>
    <cacheHierarchy uniqueName="[Table2].[Total_Days]" caption="Total_Days" attribute="1" defaultMemberUniqueName="[Table2].[Total_Days].[All]" allUniqueName="[Table2].[Total_Days].[All]" dimensionUniqueName="[Table2]" displayFolder="" count="2" memberValueDatatype="20" unbalanced="0"/>
    <cacheHierarchy uniqueName="[Table3].[City]" caption="City" attribute="1" defaultMemberUniqueName="[Table3].[City].[All]" allUniqueName="[Table3].[City].[All]" dimensionUniqueName="[Table3]" displayFolder="" count="2" memberValueDatatype="130" unbalanced="0"/>
    <cacheHierarchy uniqueName="[Table3].[AQI_Bucket]" caption="AQI_Bucket" attribute="1" defaultMemberUniqueName="[Table3].[AQI_Bucket].[All]" allUniqueName="[Table3].[AQI_Bucket].[All]" dimensionUniqueName="[Table3]" displayFolder="" count="2" memberValueDatatype="130" unbalanced="0">
      <fieldsUsage count="2">
        <fieldUsage x="-1"/>
        <fieldUsage x="3"/>
      </fieldsUsage>
    </cacheHierarchy>
    <cacheHierarchy uniqueName="[Table3].[Total_Days]" caption="Total_Days" attribute="1" defaultMemberUniqueName="[Table3].[Total_Days].[All]" allUniqueName="[Table3].[Total_Days].[All]" dimensionUniqueName="[Table3]" displayFolder="" count="2" memberValueDatatype="20" unbalanced="0"/>
    <cacheHierarchy uniqueName="[Table4].[Month]" caption="Month" attribute="1" defaultMemberUniqueName="[Table4].[Month].[All]" allUniqueName="[Table4].[Month].[All]" dimensionUniqueName="[Table4]" displayFolder="" count="2" memberValueDatatype="130" unbalanced="0"/>
    <cacheHierarchy uniqueName="[Table4].[Avg_PM2_5]" caption="Avg_PM2_5" attribute="1" defaultMemberUniqueName="[Table4].[Avg_PM2_5].[All]" allUniqueName="[Table4].[Avg_PM2_5].[All]" dimensionUniqueName="[Table4]" displayFolder="" count="2" memberValueDatatype="5" unbalanced="0"/>
    <cacheHierarchy uniqueName="[Table4].[Avg_PM10]" caption="Avg_PM10" attribute="1" defaultMemberUniqueName="[Table4].[Avg_PM10].[All]" allUniqueName="[Table4].[Avg_PM10].[All]" dimensionUniqueName="[Table4]" displayFolder="" count="2" memberValueDatatype="5" unbalanced="0"/>
    <cacheHierarchy uniqueName="[Table5].[Pollutant]" caption="Pollutant" attribute="1" defaultMemberUniqueName="[Table5].[Pollutant].[All]" allUniqueName="[Table5].[Pollutant].[All]" dimensionUniqueName="[Table5]" displayFolder="" count="2" memberValueDatatype="130" unbalanced="0"/>
    <cacheHierarchy uniqueName="[Table5].[Frequency]" caption="Frequency" attribute="1" defaultMemberUniqueName="[Table5].[Frequency].[All]" allUniqueName="[Table5].[Frequency].[All]" dimensionUniqueName="[Table5]" displayFolder="" count="2" memberValueDatatype="20" unbalanced="0"/>
    <cacheHierarchy uniqueName="[Table6].[State]" caption="State" attribute="1" defaultMemberUniqueName="[Table6].[State].[All]" allUniqueName="[Table6].[State].[All]" dimensionUniqueName="[Table6]" displayFolder="" count="2" memberValueDatatype="130" unbalanced="0"/>
    <cacheHierarchy uniqueName="[Table6].[Cnt_Stations]" caption="Cnt_Stations" attribute="1" defaultMemberUniqueName="[Table6].[Cnt_Stations].[All]" allUniqueName="[Table6].[Cnt_Stations].[All]" dimensionUniqueName="[Table6]" displayFolder="" count="2" memberValueDatatype="20" unbalanced="0"/>
    <cacheHierarchy uniqueName="[Table6].[Avg_AQI]" caption="Avg_AQI" attribute="1" defaultMemberUniqueName="[Table6].[Avg_AQI].[All]" allUniqueName="[Table6].[Avg_AQI].[All]" dimensionUniqueName="[Table6]" displayFolder="" count="2"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AQI]" caption="Sum of Avg_AQI"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Total_Days]" caption="Sum of Total_Days" measure="1" displayFolder="" measureGroup="Table2" count="0" hidden="1">
      <extLst>
        <ext xmlns:x15="http://schemas.microsoft.com/office/spreadsheetml/2010/11/main" uri="{B97F6D7D-B522-45F9-BDA1-12C45D357490}">
          <x15:cacheHierarchy aggregatedColumn="5"/>
        </ext>
      </extLst>
    </cacheHierarchy>
    <cacheHierarchy uniqueName="[Measures].[Sum of Total_Days 2]" caption="Sum of Total_Days 2" measure="1" displayFolder="" measureGroup="Table3" count="0" hidden="1">
      <extLst>
        <ext xmlns:x15="http://schemas.microsoft.com/office/spreadsheetml/2010/11/main" uri="{B97F6D7D-B522-45F9-BDA1-12C45D357490}">
          <x15:cacheHierarchy aggregatedColumn="8"/>
        </ext>
      </extLst>
    </cacheHierarchy>
    <cacheHierarchy uniqueName="[Measures].[Sum of Avg_PM2_5]" caption="Sum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Avg_PM10]" caption="Sum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10]" caption="Average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2_5]" caption="Average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Cnt_Stations]" caption="Sum of Cnt_Stations" measure="1" displayFolder="" measureGroup="Table6" count="0" hidden="1">
      <extLst>
        <ext xmlns:x15="http://schemas.microsoft.com/office/spreadsheetml/2010/11/main" uri="{B97F6D7D-B522-45F9-BDA1-12C45D357490}">
          <x15:cacheHierarchy aggregatedColumn="15"/>
        </ext>
      </extLst>
    </cacheHierarchy>
    <cacheHierarchy uniqueName="[Measures].[Sum of Avg_AQI 2]" caption="Sum of Avg_AQI 2" measure="1" displayFolder="" measureGroup="Table6" count="0" hidden="1">
      <extLst>
        <ext xmlns:x15="http://schemas.microsoft.com/office/spreadsheetml/2010/11/main" uri="{B97F6D7D-B522-45F9-BDA1-12C45D357490}">
          <x15:cacheHierarchy aggregatedColumn="16"/>
        </ext>
      </extLst>
    </cacheHierarchy>
    <cacheHierarchy uniqueName="[Measures].[Count of Cnt_Stations]" caption="Count of Cnt_Stations" measure="1" displayFolder="" measureGroup="Table6" count="0" hidden="1">
      <extLst>
        <ext xmlns:x15="http://schemas.microsoft.com/office/spreadsheetml/2010/11/main" uri="{B97F6D7D-B522-45F9-BDA1-12C45D357490}">
          <x15:cacheHierarchy aggregatedColumn="15"/>
        </ext>
      </extLst>
    </cacheHierarchy>
    <cacheHierarchy uniqueName="[Measures].[Average of Avg_AQI]" caption="Average of Avg_AQI" measure="1" displayFolder="" measureGroup="Table6" count="0" hidden="1">
      <extLst>
        <ext xmlns:x15="http://schemas.microsoft.com/office/spreadsheetml/2010/11/main" uri="{B97F6D7D-B522-45F9-BDA1-12C45D357490}">
          <x15:cacheHierarchy aggregatedColumn="16"/>
        </ext>
      </extLst>
    </cacheHierarchy>
    <cacheHierarchy uniqueName="[Measures].[Average of Avg_AQI 2]" caption="Average of Avg_AQI 2" measure="1" displayFolder="" measureGroup="Table1" count="0" hidden="1">
      <extLst>
        <ext xmlns:x15="http://schemas.microsoft.com/office/spreadsheetml/2010/11/main" uri="{B97F6D7D-B522-45F9-BDA1-12C45D357490}">
          <x15:cacheHierarchy aggregatedColumn="2"/>
        </ext>
      </extLst>
    </cacheHierarchy>
    <cacheHierarchy uniqueName="[Measures].[Sum of Frequency]" caption="Sum of Frequency" measure="1" displayFolder="" measureGroup="Table5" count="0" hidden="1">
      <extLst>
        <ext xmlns:x15="http://schemas.microsoft.com/office/spreadsheetml/2010/11/main" uri="{B97F6D7D-B522-45F9-BDA1-12C45D357490}">
          <x15:cacheHierarchy aggregatedColumn="13"/>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MD-308" refreshedDate="46039.561262152776" backgroundQuery="1" createdVersion="8" refreshedVersion="8" minRefreshableVersion="3" recordCount="0" supportSubquery="1" supportAdvancedDrill="1" xr:uid="{FBD48062-5F19-4B04-8DD9-E7A364BB0E6B}">
  <cacheSource type="external" connectionId="1"/>
  <cacheFields count="2">
    <cacheField name="[Measures].[Average of Avg_AQI 2]" caption="Average of Avg_AQI 2" numFmtId="0" hierarchy="35" level="32767"/>
    <cacheField name="[Table3].[AQI_Bucket].[AQI_Bucket]" caption="AQI_Bucket" numFmtId="0" hierarchy="7" level="1">
      <sharedItems containsSemiMixedTypes="0" containsNonDate="0" containsString="0"/>
    </cacheField>
  </cacheFields>
  <cacheHierarchies count="37">
    <cacheHierarchy uniqueName="[Table1].[City]" caption="City" attribute="1" defaultMemberUniqueName="[Table1].[City].[All]" allUniqueName="[Table1].[Cit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vg_AQI]" caption="Avg_AQI" attribute="1" defaultMemberUniqueName="[Table1].[Avg_AQI].[All]" allUniqueName="[Table1].[Avg_AQI].[All]" dimensionUniqueName="[Table1]"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Table2].[AQI_Bucket]" caption="AQI_Bucket" attribute="1" defaultMemberUniqueName="[Table2].[AQI_Bucket].[All]" allUniqueName="[Table2].[AQI_Bucket].[All]" dimensionUniqueName="[Table2]" displayFolder="" count="0" memberValueDatatype="130" unbalanced="0"/>
    <cacheHierarchy uniqueName="[Table2].[Total_Days]" caption="Total_Days" attribute="1" defaultMemberUniqueName="[Table2].[Total_Days].[All]" allUniqueName="[Table2].[Total_Days].[All]" dimensionUniqueName="[Table2]"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AQI_Bucket]" caption="AQI_Bucket" attribute="1" defaultMemberUniqueName="[Table3].[AQI_Bucket].[All]" allUniqueName="[Table3].[AQI_Bucket].[All]" dimensionUniqueName="[Table3]" displayFolder="" count="2" memberValueDatatype="130" unbalanced="0">
      <fieldsUsage count="2">
        <fieldUsage x="-1"/>
        <fieldUsage x="1"/>
      </fieldsUsage>
    </cacheHierarchy>
    <cacheHierarchy uniqueName="[Table3].[Total_Days]" caption="Total_Days" attribute="1" defaultMemberUniqueName="[Table3].[Total_Days].[All]" allUniqueName="[Table3].[Total_Days].[All]" dimensionUniqueName="[Table3]" displayFolder="" count="0" memberValueDatatype="20" unbalanced="0"/>
    <cacheHierarchy uniqueName="[Table4].[Month]" caption="Month" attribute="1" defaultMemberUniqueName="[Table4].[Month].[All]" allUniqueName="[Table4].[Month].[All]" dimensionUniqueName="[Table4]" displayFolder="" count="2" memberValueDatatype="130" unbalanced="0"/>
    <cacheHierarchy uniqueName="[Table4].[Avg_PM2_5]" caption="Avg_PM2_5" attribute="1" defaultMemberUniqueName="[Table4].[Avg_PM2_5].[All]" allUniqueName="[Table4].[Avg_PM2_5].[All]" dimensionUniqueName="[Table4]" displayFolder="" count="0" memberValueDatatype="5" unbalanced="0"/>
    <cacheHierarchy uniqueName="[Table4].[Avg_PM10]" caption="Avg_PM10" attribute="1" defaultMemberUniqueName="[Table4].[Avg_PM10].[All]" allUniqueName="[Table4].[Avg_PM10].[All]" dimensionUniqueName="[Table4]" displayFolder="" count="0" memberValueDatatype="5" unbalanced="0"/>
    <cacheHierarchy uniqueName="[Table5].[Pollutant]" caption="Pollutant" attribute="1" defaultMemberUniqueName="[Table5].[Pollutant].[All]" allUniqueName="[Table5].[Pollutant].[All]" dimensionUniqueName="[Table5]" displayFolder="" count="2" memberValueDatatype="130" unbalanced="0"/>
    <cacheHierarchy uniqueName="[Table5].[Frequency]" caption="Frequency" attribute="1" defaultMemberUniqueName="[Table5].[Frequency].[All]" allUniqueName="[Table5].[Frequency].[All]" dimensionUniqueName="[Table5]" displayFolder="" count="0" memberValueDatatype="20" unbalanced="0"/>
    <cacheHierarchy uniqueName="[Table6].[State]" caption="State" attribute="1" defaultMemberUniqueName="[Table6].[State].[All]" allUniqueName="[Table6].[State].[All]" dimensionUniqueName="[Table6]" displayFolder="" count="2" memberValueDatatype="130" unbalanced="0"/>
    <cacheHierarchy uniqueName="[Table6].[Cnt_Stations]" caption="Cnt_Stations" attribute="1" defaultMemberUniqueName="[Table6].[Cnt_Stations].[All]" allUniqueName="[Table6].[Cnt_Stations].[All]" dimensionUniqueName="[Table6]" displayFolder="" count="0" memberValueDatatype="20" unbalanced="0"/>
    <cacheHierarchy uniqueName="[Table6].[Avg_AQI]" caption="Avg_AQI" attribute="1" defaultMemberUniqueName="[Table6].[Avg_AQI].[All]" allUniqueName="[Table6].[Avg_AQI].[All]" dimensionUniqueName="[Table6]"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AQI]" caption="Sum of Avg_AQI" measure="1" displayFolder="" measureGroup="Table1" count="0" hidden="1">
      <extLst>
        <ext xmlns:x15="http://schemas.microsoft.com/office/spreadsheetml/2010/11/main" uri="{B97F6D7D-B522-45F9-BDA1-12C45D357490}">
          <x15:cacheHierarchy aggregatedColumn="2"/>
        </ext>
      </extLst>
    </cacheHierarchy>
    <cacheHierarchy uniqueName="[Measures].[Sum of Total_Days]" caption="Sum of Total_Days" measure="1" displayFolder="" measureGroup="Table2" count="0" hidden="1">
      <extLst>
        <ext xmlns:x15="http://schemas.microsoft.com/office/spreadsheetml/2010/11/main" uri="{B97F6D7D-B522-45F9-BDA1-12C45D357490}">
          <x15:cacheHierarchy aggregatedColumn="5"/>
        </ext>
      </extLst>
    </cacheHierarchy>
    <cacheHierarchy uniqueName="[Measures].[Sum of Total_Days 2]" caption="Sum of Total_Days 2" measure="1" displayFolder="" measureGroup="Table3" count="0" hidden="1">
      <extLst>
        <ext xmlns:x15="http://schemas.microsoft.com/office/spreadsheetml/2010/11/main" uri="{B97F6D7D-B522-45F9-BDA1-12C45D357490}">
          <x15:cacheHierarchy aggregatedColumn="8"/>
        </ext>
      </extLst>
    </cacheHierarchy>
    <cacheHierarchy uniqueName="[Measures].[Sum of Avg_PM2_5]" caption="Sum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Avg_PM10]" caption="Sum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10]" caption="Average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2_5]" caption="Average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Cnt_Stations]" caption="Sum of Cnt_Stations" measure="1" displayFolder="" measureGroup="Table6" count="0" hidden="1">
      <extLst>
        <ext xmlns:x15="http://schemas.microsoft.com/office/spreadsheetml/2010/11/main" uri="{B97F6D7D-B522-45F9-BDA1-12C45D357490}">
          <x15:cacheHierarchy aggregatedColumn="15"/>
        </ext>
      </extLst>
    </cacheHierarchy>
    <cacheHierarchy uniqueName="[Measures].[Sum of Avg_AQI 2]" caption="Sum of Avg_AQI 2" measure="1" displayFolder="" measureGroup="Table6" count="0" hidden="1">
      <extLst>
        <ext xmlns:x15="http://schemas.microsoft.com/office/spreadsheetml/2010/11/main" uri="{B97F6D7D-B522-45F9-BDA1-12C45D357490}">
          <x15:cacheHierarchy aggregatedColumn="16"/>
        </ext>
      </extLst>
    </cacheHierarchy>
    <cacheHierarchy uniqueName="[Measures].[Count of Cnt_Stations]" caption="Count of Cnt_Stations" measure="1" displayFolder="" measureGroup="Table6" count="0" hidden="1">
      <extLst>
        <ext xmlns:x15="http://schemas.microsoft.com/office/spreadsheetml/2010/11/main" uri="{B97F6D7D-B522-45F9-BDA1-12C45D357490}">
          <x15:cacheHierarchy aggregatedColumn="15"/>
        </ext>
      </extLst>
    </cacheHierarchy>
    <cacheHierarchy uniqueName="[Measures].[Average of Avg_AQI]" caption="Average of Avg_AQI" measure="1" displayFolder="" measureGroup="Table6" count="0" hidden="1">
      <extLst>
        <ext xmlns:x15="http://schemas.microsoft.com/office/spreadsheetml/2010/11/main" uri="{B97F6D7D-B522-45F9-BDA1-12C45D357490}">
          <x15:cacheHierarchy aggregatedColumn="16"/>
        </ext>
      </extLst>
    </cacheHierarchy>
    <cacheHierarchy uniqueName="[Measures].[Average of Avg_AQI 2]" caption="Average of Avg_AQI 2"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Frequency]" caption="Sum of Frequency" measure="1" displayFolder="" measureGroup="Table5" count="0" hidden="1">
      <extLst>
        <ext xmlns:x15="http://schemas.microsoft.com/office/spreadsheetml/2010/11/main" uri="{B97F6D7D-B522-45F9-BDA1-12C45D357490}">
          <x15:cacheHierarchy aggregatedColumn="13"/>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MD-308" refreshedDate="46039.561263310185" backgroundQuery="1" createdVersion="8" refreshedVersion="8" minRefreshableVersion="3" recordCount="0" supportSubquery="1" supportAdvancedDrill="1" xr:uid="{F372B3B8-2DD5-48DC-802D-28FF643414B3}">
  <cacheSource type="external" connectionId="1"/>
  <cacheFields count="4">
    <cacheField name="[Table4].[Month].[Month]" caption="Month" numFmtId="0" hierarchy="9" level="1">
      <sharedItems count="12">
        <s v="April"/>
        <s v="August"/>
        <s v="December"/>
        <s v="February"/>
        <s v="January"/>
        <s v="July"/>
        <s v="June"/>
        <s v="March"/>
        <s v="May"/>
        <s v="November"/>
        <s v="October"/>
        <s v="September"/>
      </sharedItems>
    </cacheField>
    <cacheField name="[Measures].[Average of Avg_PM10]" caption="Average of Avg_PM10" numFmtId="0" hierarchy="29" level="32767"/>
    <cacheField name="[Measures].[Average of Avg_PM2_5]" caption="Average of Avg_PM2_5" numFmtId="0" hierarchy="30" level="32767"/>
    <cacheField name="[Table3].[AQI_Bucket].[AQI_Bucket]" caption="AQI_Bucket" numFmtId="0" hierarchy="7" level="1">
      <sharedItems containsSemiMixedTypes="0" containsNonDate="0" containsString="0"/>
    </cacheField>
  </cacheFields>
  <cacheHierarchies count="37">
    <cacheHierarchy uniqueName="[Table1].[City]" caption="City" attribute="1" defaultMemberUniqueName="[Table1].[City].[All]" allUniqueName="[Table1].[Cit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vg_AQI]" caption="Avg_AQI" attribute="1" defaultMemberUniqueName="[Table1].[Avg_AQI].[All]" allUniqueName="[Table1].[Avg_AQI].[All]" dimensionUniqueName="[Table1]" displayFolder="" count="2" memberValueDatatype="5" unbalanced="0"/>
    <cacheHierarchy uniqueName="[Table2].[City]" caption="City" attribute="1" defaultMemberUniqueName="[Table2].[City].[All]" allUniqueName="[Table2].[City].[All]" dimensionUniqueName="[Table2]" displayFolder="" count="2" memberValueDatatype="130" unbalanced="0"/>
    <cacheHierarchy uniqueName="[Table2].[AQI_Bucket]" caption="AQI_Bucket" attribute="1" defaultMemberUniqueName="[Table2].[AQI_Bucket].[All]" allUniqueName="[Table2].[AQI_Bucket].[All]" dimensionUniqueName="[Table2]" displayFolder="" count="2" memberValueDatatype="130" unbalanced="0"/>
    <cacheHierarchy uniqueName="[Table2].[Total_Days]" caption="Total_Days" attribute="1" defaultMemberUniqueName="[Table2].[Total_Days].[All]" allUniqueName="[Table2].[Total_Days].[All]" dimensionUniqueName="[Table2]" displayFolder="" count="2" memberValueDatatype="20" unbalanced="0"/>
    <cacheHierarchy uniqueName="[Table3].[City]" caption="City" attribute="1" defaultMemberUniqueName="[Table3].[City].[All]" allUniqueName="[Table3].[City].[All]" dimensionUniqueName="[Table3]" displayFolder="" count="2" memberValueDatatype="130" unbalanced="0"/>
    <cacheHierarchy uniqueName="[Table3].[AQI_Bucket]" caption="AQI_Bucket" attribute="1" defaultMemberUniqueName="[Table3].[AQI_Bucket].[All]" allUniqueName="[Table3].[AQI_Bucket].[All]" dimensionUniqueName="[Table3]" displayFolder="" count="2" memberValueDatatype="130" unbalanced="0">
      <fieldsUsage count="2">
        <fieldUsage x="-1"/>
        <fieldUsage x="3"/>
      </fieldsUsage>
    </cacheHierarchy>
    <cacheHierarchy uniqueName="[Table3].[Total_Days]" caption="Total_Days" attribute="1" defaultMemberUniqueName="[Table3].[Total_Days].[All]" allUniqueName="[Table3].[Total_Days].[All]" dimensionUniqueName="[Table3]" displayFolder="" count="2" memberValueDatatype="20" unbalanced="0"/>
    <cacheHierarchy uniqueName="[Table4].[Month]" caption="Month" attribute="1" defaultMemberUniqueName="[Table4].[Month].[All]" allUniqueName="[Table4].[Month].[All]" dimensionUniqueName="[Table4]" displayFolder="" count="2" memberValueDatatype="130" unbalanced="0">
      <fieldsUsage count="2">
        <fieldUsage x="-1"/>
        <fieldUsage x="0"/>
      </fieldsUsage>
    </cacheHierarchy>
    <cacheHierarchy uniqueName="[Table4].[Avg_PM2_5]" caption="Avg_PM2_5" attribute="1" defaultMemberUniqueName="[Table4].[Avg_PM2_5].[All]" allUniqueName="[Table4].[Avg_PM2_5].[All]" dimensionUniqueName="[Table4]" displayFolder="" count="2" memberValueDatatype="5" unbalanced="0"/>
    <cacheHierarchy uniqueName="[Table4].[Avg_PM10]" caption="Avg_PM10" attribute="1" defaultMemberUniqueName="[Table4].[Avg_PM10].[All]" allUniqueName="[Table4].[Avg_PM10].[All]" dimensionUniqueName="[Table4]" displayFolder="" count="2" memberValueDatatype="5" unbalanced="0"/>
    <cacheHierarchy uniqueName="[Table5].[Pollutant]" caption="Pollutant" attribute="1" defaultMemberUniqueName="[Table5].[Pollutant].[All]" allUniqueName="[Table5].[Pollutant].[All]" dimensionUniqueName="[Table5]" displayFolder="" count="2" memberValueDatatype="130" unbalanced="0"/>
    <cacheHierarchy uniqueName="[Table5].[Frequency]" caption="Frequency" attribute="1" defaultMemberUniqueName="[Table5].[Frequency].[All]" allUniqueName="[Table5].[Frequency].[All]" dimensionUniqueName="[Table5]" displayFolder="" count="2" memberValueDatatype="20" unbalanced="0"/>
    <cacheHierarchy uniqueName="[Table6].[State]" caption="State" attribute="1" defaultMemberUniqueName="[Table6].[State].[All]" allUniqueName="[Table6].[State].[All]" dimensionUniqueName="[Table6]" displayFolder="" count="2" memberValueDatatype="130" unbalanced="0"/>
    <cacheHierarchy uniqueName="[Table6].[Cnt_Stations]" caption="Cnt_Stations" attribute="1" defaultMemberUniqueName="[Table6].[Cnt_Stations].[All]" allUniqueName="[Table6].[Cnt_Stations].[All]" dimensionUniqueName="[Table6]" displayFolder="" count="2" memberValueDatatype="20" unbalanced="0"/>
    <cacheHierarchy uniqueName="[Table6].[Avg_AQI]" caption="Avg_AQI" attribute="1" defaultMemberUniqueName="[Table6].[Avg_AQI].[All]" allUniqueName="[Table6].[Avg_AQI].[All]" dimensionUniqueName="[Table6]" displayFolder="" count="2"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AQI]" caption="Sum of Avg_AQI" measure="1" displayFolder="" measureGroup="Table1" count="0" hidden="1">
      <extLst>
        <ext xmlns:x15="http://schemas.microsoft.com/office/spreadsheetml/2010/11/main" uri="{B97F6D7D-B522-45F9-BDA1-12C45D357490}">
          <x15:cacheHierarchy aggregatedColumn="2"/>
        </ext>
      </extLst>
    </cacheHierarchy>
    <cacheHierarchy uniqueName="[Measures].[Sum of Total_Days]" caption="Sum of Total_Days" measure="1" displayFolder="" measureGroup="Table2" count="0" hidden="1">
      <extLst>
        <ext xmlns:x15="http://schemas.microsoft.com/office/spreadsheetml/2010/11/main" uri="{B97F6D7D-B522-45F9-BDA1-12C45D357490}">
          <x15:cacheHierarchy aggregatedColumn="5"/>
        </ext>
      </extLst>
    </cacheHierarchy>
    <cacheHierarchy uniqueName="[Measures].[Sum of Total_Days 2]" caption="Sum of Total_Days 2" measure="1" displayFolder="" measureGroup="Table3" count="0" hidden="1">
      <extLst>
        <ext xmlns:x15="http://schemas.microsoft.com/office/spreadsheetml/2010/11/main" uri="{B97F6D7D-B522-45F9-BDA1-12C45D357490}">
          <x15:cacheHierarchy aggregatedColumn="8"/>
        </ext>
      </extLst>
    </cacheHierarchy>
    <cacheHierarchy uniqueName="[Measures].[Sum of Avg_PM2_5]" caption="Sum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Avg_PM10]" caption="Sum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10]" caption="Average of Avg_PM10" measure="1" displayFolder="" measureGroup="Table4"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Avg_PM2_5]" caption="Average of Avg_PM2_5" measure="1" displayFolder="" measureGroup="Table4"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Cnt_Stations]" caption="Sum of Cnt_Stations" measure="1" displayFolder="" measureGroup="Table6" count="0" hidden="1">
      <extLst>
        <ext xmlns:x15="http://schemas.microsoft.com/office/spreadsheetml/2010/11/main" uri="{B97F6D7D-B522-45F9-BDA1-12C45D357490}">
          <x15:cacheHierarchy aggregatedColumn="15"/>
        </ext>
      </extLst>
    </cacheHierarchy>
    <cacheHierarchy uniqueName="[Measures].[Sum of Avg_AQI 2]" caption="Sum of Avg_AQI 2" measure="1" displayFolder="" measureGroup="Table6" count="0" hidden="1">
      <extLst>
        <ext xmlns:x15="http://schemas.microsoft.com/office/spreadsheetml/2010/11/main" uri="{B97F6D7D-B522-45F9-BDA1-12C45D357490}">
          <x15:cacheHierarchy aggregatedColumn="16"/>
        </ext>
      </extLst>
    </cacheHierarchy>
    <cacheHierarchy uniqueName="[Measures].[Count of Cnt_Stations]" caption="Count of Cnt_Stations" measure="1" displayFolder="" measureGroup="Table6" count="0" hidden="1">
      <extLst>
        <ext xmlns:x15="http://schemas.microsoft.com/office/spreadsheetml/2010/11/main" uri="{B97F6D7D-B522-45F9-BDA1-12C45D357490}">
          <x15:cacheHierarchy aggregatedColumn="15"/>
        </ext>
      </extLst>
    </cacheHierarchy>
    <cacheHierarchy uniqueName="[Measures].[Average of Avg_AQI]" caption="Average of Avg_AQI" measure="1" displayFolder="" measureGroup="Table6" count="0" hidden="1">
      <extLst>
        <ext xmlns:x15="http://schemas.microsoft.com/office/spreadsheetml/2010/11/main" uri="{B97F6D7D-B522-45F9-BDA1-12C45D357490}">
          <x15:cacheHierarchy aggregatedColumn="16"/>
        </ext>
      </extLst>
    </cacheHierarchy>
    <cacheHierarchy uniqueName="[Measures].[Average of Avg_AQI 2]" caption="Average of Avg_AQI 2" measure="1" displayFolder="" measureGroup="Table1" count="0" hidden="1">
      <extLst>
        <ext xmlns:x15="http://schemas.microsoft.com/office/spreadsheetml/2010/11/main" uri="{B97F6D7D-B522-45F9-BDA1-12C45D357490}">
          <x15:cacheHierarchy aggregatedColumn="2"/>
        </ext>
      </extLst>
    </cacheHierarchy>
    <cacheHierarchy uniqueName="[Measures].[Sum of Frequency]" caption="Sum of Frequency" measure="1" displayFolder="" measureGroup="Table5" count="0" hidden="1">
      <extLst>
        <ext xmlns:x15="http://schemas.microsoft.com/office/spreadsheetml/2010/11/main" uri="{B97F6D7D-B522-45F9-BDA1-12C45D357490}">
          <x15:cacheHierarchy aggregatedColumn="13"/>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MD-308" refreshedDate="46039.561264351854" backgroundQuery="1" createdVersion="8" refreshedVersion="8" minRefreshableVersion="3" recordCount="0" supportSubquery="1" supportAdvancedDrill="1" xr:uid="{90703128-90DA-46D0-9DB2-0E3FC71E266C}">
  <cacheSource type="external" connectionId="1"/>
  <cacheFields count="3">
    <cacheField name="[Table5].[Pollutant].[Pollutant]" caption="Pollutant" numFmtId="0" hierarchy="12" level="1">
      <sharedItems count="10">
        <s v="Benzene"/>
        <s v="NO"/>
        <s v="NO2"/>
        <s v="NOx"/>
        <s v="O3"/>
        <s v="PM10"/>
        <s v="PM2.5"/>
        <s v="SO2"/>
        <s v="Toluene"/>
        <s v="Xylene"/>
      </sharedItems>
    </cacheField>
    <cacheField name="[Measures].[Sum of Frequency]" caption="Sum of Frequency" numFmtId="0" hierarchy="36" level="32767"/>
    <cacheField name="[Table3].[AQI_Bucket].[AQI_Bucket]" caption="AQI_Bucket" numFmtId="0" hierarchy="7" level="1">
      <sharedItems containsSemiMixedTypes="0" containsNonDate="0" containsString="0"/>
    </cacheField>
  </cacheFields>
  <cacheHierarchies count="37">
    <cacheHierarchy uniqueName="[Table1].[City]" caption="City" attribute="1" defaultMemberUniqueName="[Table1].[City].[All]" allUniqueName="[Table1].[Cit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vg_AQI]" caption="Avg_AQI" attribute="1" defaultMemberUniqueName="[Table1].[Avg_AQI].[All]" allUniqueName="[Table1].[Avg_AQI].[All]" dimensionUniqueName="[Table1]" displayFolder="" count="2" memberValueDatatype="5" unbalanced="0"/>
    <cacheHierarchy uniqueName="[Table2].[City]" caption="City" attribute="1" defaultMemberUniqueName="[Table2].[City].[All]" allUniqueName="[Table2].[City].[All]" dimensionUniqueName="[Table2]" displayFolder="" count="2" memberValueDatatype="130" unbalanced="0"/>
    <cacheHierarchy uniqueName="[Table2].[AQI_Bucket]" caption="AQI_Bucket" attribute="1" defaultMemberUniqueName="[Table2].[AQI_Bucket].[All]" allUniqueName="[Table2].[AQI_Bucket].[All]" dimensionUniqueName="[Table2]" displayFolder="" count="2" memberValueDatatype="130" unbalanced="0"/>
    <cacheHierarchy uniqueName="[Table2].[Total_Days]" caption="Total_Days" attribute="1" defaultMemberUniqueName="[Table2].[Total_Days].[All]" allUniqueName="[Table2].[Total_Days].[All]" dimensionUniqueName="[Table2]" displayFolder="" count="2" memberValueDatatype="20" unbalanced="0"/>
    <cacheHierarchy uniqueName="[Table3].[City]" caption="City" attribute="1" defaultMemberUniqueName="[Table3].[City].[All]" allUniqueName="[Table3].[City].[All]" dimensionUniqueName="[Table3]" displayFolder="" count="2" memberValueDatatype="130" unbalanced="0"/>
    <cacheHierarchy uniqueName="[Table3].[AQI_Bucket]" caption="AQI_Bucket" attribute="1" defaultMemberUniqueName="[Table3].[AQI_Bucket].[All]" allUniqueName="[Table3].[AQI_Bucket].[All]" dimensionUniqueName="[Table3]" displayFolder="" count="2" memberValueDatatype="130" unbalanced="0">
      <fieldsUsage count="2">
        <fieldUsage x="-1"/>
        <fieldUsage x="2"/>
      </fieldsUsage>
    </cacheHierarchy>
    <cacheHierarchy uniqueName="[Table3].[Total_Days]" caption="Total_Days" attribute="1" defaultMemberUniqueName="[Table3].[Total_Days].[All]" allUniqueName="[Table3].[Total_Days].[All]" dimensionUniqueName="[Table3]" displayFolder="" count="2" memberValueDatatype="20" unbalanced="0"/>
    <cacheHierarchy uniqueName="[Table4].[Month]" caption="Month" attribute="1" defaultMemberUniqueName="[Table4].[Month].[All]" allUniqueName="[Table4].[Month].[All]" dimensionUniqueName="[Table4]" displayFolder="" count="2" memberValueDatatype="130" unbalanced="0"/>
    <cacheHierarchy uniqueName="[Table4].[Avg_PM2_5]" caption="Avg_PM2_5" attribute="1" defaultMemberUniqueName="[Table4].[Avg_PM2_5].[All]" allUniqueName="[Table4].[Avg_PM2_5].[All]" dimensionUniqueName="[Table4]" displayFolder="" count="2" memberValueDatatype="5" unbalanced="0"/>
    <cacheHierarchy uniqueName="[Table4].[Avg_PM10]" caption="Avg_PM10" attribute="1" defaultMemberUniqueName="[Table4].[Avg_PM10].[All]" allUniqueName="[Table4].[Avg_PM10].[All]" dimensionUniqueName="[Table4]" displayFolder="" count="2" memberValueDatatype="5" unbalanced="0"/>
    <cacheHierarchy uniqueName="[Table5].[Pollutant]" caption="Pollutant" attribute="1" defaultMemberUniqueName="[Table5].[Pollutant].[All]" allUniqueName="[Table5].[Pollutant].[All]" dimensionUniqueName="[Table5]" displayFolder="" count="2" memberValueDatatype="130" unbalanced="0">
      <fieldsUsage count="2">
        <fieldUsage x="-1"/>
        <fieldUsage x="0"/>
      </fieldsUsage>
    </cacheHierarchy>
    <cacheHierarchy uniqueName="[Table5].[Frequency]" caption="Frequency" attribute="1" defaultMemberUniqueName="[Table5].[Frequency].[All]" allUniqueName="[Table5].[Frequency].[All]" dimensionUniqueName="[Table5]" displayFolder="" count="2" memberValueDatatype="20" unbalanced="0"/>
    <cacheHierarchy uniqueName="[Table6].[State]" caption="State" attribute="1" defaultMemberUniqueName="[Table6].[State].[All]" allUniqueName="[Table6].[State].[All]" dimensionUniqueName="[Table6]" displayFolder="" count="2" memberValueDatatype="130" unbalanced="0"/>
    <cacheHierarchy uniqueName="[Table6].[Cnt_Stations]" caption="Cnt_Stations" attribute="1" defaultMemberUniqueName="[Table6].[Cnt_Stations].[All]" allUniqueName="[Table6].[Cnt_Stations].[All]" dimensionUniqueName="[Table6]" displayFolder="" count="2" memberValueDatatype="20" unbalanced="0"/>
    <cacheHierarchy uniqueName="[Table6].[Avg_AQI]" caption="Avg_AQI" attribute="1" defaultMemberUniqueName="[Table6].[Avg_AQI].[All]" allUniqueName="[Table6].[Avg_AQI].[All]" dimensionUniqueName="[Table6]" displayFolder="" count="2"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AQI]" caption="Sum of Avg_AQI" measure="1" displayFolder="" measureGroup="Table1" count="0" hidden="1">
      <extLst>
        <ext xmlns:x15="http://schemas.microsoft.com/office/spreadsheetml/2010/11/main" uri="{B97F6D7D-B522-45F9-BDA1-12C45D357490}">
          <x15:cacheHierarchy aggregatedColumn="2"/>
        </ext>
      </extLst>
    </cacheHierarchy>
    <cacheHierarchy uniqueName="[Measures].[Sum of Total_Days]" caption="Sum of Total_Days" measure="1" displayFolder="" measureGroup="Table2" count="0" hidden="1">
      <extLst>
        <ext xmlns:x15="http://schemas.microsoft.com/office/spreadsheetml/2010/11/main" uri="{B97F6D7D-B522-45F9-BDA1-12C45D357490}">
          <x15:cacheHierarchy aggregatedColumn="5"/>
        </ext>
      </extLst>
    </cacheHierarchy>
    <cacheHierarchy uniqueName="[Measures].[Sum of Total_Days 2]" caption="Sum of Total_Days 2" measure="1" displayFolder="" measureGroup="Table3" count="0" hidden="1">
      <extLst>
        <ext xmlns:x15="http://schemas.microsoft.com/office/spreadsheetml/2010/11/main" uri="{B97F6D7D-B522-45F9-BDA1-12C45D357490}">
          <x15:cacheHierarchy aggregatedColumn="8"/>
        </ext>
      </extLst>
    </cacheHierarchy>
    <cacheHierarchy uniqueName="[Measures].[Sum of Avg_PM2_5]" caption="Sum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Avg_PM10]" caption="Sum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10]" caption="Average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2_5]" caption="Average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Cnt_Stations]" caption="Sum of Cnt_Stations" measure="1" displayFolder="" measureGroup="Table6" count="0" hidden="1">
      <extLst>
        <ext xmlns:x15="http://schemas.microsoft.com/office/spreadsheetml/2010/11/main" uri="{B97F6D7D-B522-45F9-BDA1-12C45D357490}">
          <x15:cacheHierarchy aggregatedColumn="15"/>
        </ext>
      </extLst>
    </cacheHierarchy>
    <cacheHierarchy uniqueName="[Measures].[Sum of Avg_AQI 2]" caption="Sum of Avg_AQI 2" measure="1" displayFolder="" measureGroup="Table6" count="0" hidden="1">
      <extLst>
        <ext xmlns:x15="http://schemas.microsoft.com/office/spreadsheetml/2010/11/main" uri="{B97F6D7D-B522-45F9-BDA1-12C45D357490}">
          <x15:cacheHierarchy aggregatedColumn="16"/>
        </ext>
      </extLst>
    </cacheHierarchy>
    <cacheHierarchy uniqueName="[Measures].[Count of Cnt_Stations]" caption="Count of Cnt_Stations" measure="1" displayFolder="" measureGroup="Table6" count="0" hidden="1">
      <extLst>
        <ext xmlns:x15="http://schemas.microsoft.com/office/spreadsheetml/2010/11/main" uri="{B97F6D7D-B522-45F9-BDA1-12C45D357490}">
          <x15:cacheHierarchy aggregatedColumn="15"/>
        </ext>
      </extLst>
    </cacheHierarchy>
    <cacheHierarchy uniqueName="[Measures].[Average of Avg_AQI]" caption="Average of Avg_AQI" measure="1" displayFolder="" measureGroup="Table6" count="0" hidden="1">
      <extLst>
        <ext xmlns:x15="http://schemas.microsoft.com/office/spreadsheetml/2010/11/main" uri="{B97F6D7D-B522-45F9-BDA1-12C45D357490}">
          <x15:cacheHierarchy aggregatedColumn="16"/>
        </ext>
      </extLst>
    </cacheHierarchy>
    <cacheHierarchy uniqueName="[Measures].[Average of Avg_AQI 2]" caption="Average of Avg_AQI 2" measure="1" displayFolder="" measureGroup="Table1" count="0" hidden="1">
      <extLst>
        <ext xmlns:x15="http://schemas.microsoft.com/office/spreadsheetml/2010/11/main" uri="{B97F6D7D-B522-45F9-BDA1-12C45D357490}">
          <x15:cacheHierarchy aggregatedColumn="2"/>
        </ext>
      </extLst>
    </cacheHierarchy>
    <cacheHierarchy uniqueName="[Measures].[Sum of Frequency]" caption="Sum of Frequency" measure="1" displayFolder="" measureGroup="Table5"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MD-308" refreshedDate="46039.561265277778" backgroundQuery="1" createdVersion="8" refreshedVersion="8" minRefreshableVersion="3" recordCount="0" supportSubquery="1" supportAdvancedDrill="1" xr:uid="{D4920F1A-3EE9-4A89-90AD-45B551EDBBC7}">
  <cacheSource type="external" connectionId="1"/>
  <cacheFields count="3">
    <cacheField name="[Table2].[City].[City]" caption="City" numFmtId="0" hierarchy="3" level="1">
      <sharedItems count="1">
        <s v="Delhi"/>
      </sharedItems>
    </cacheField>
    <cacheField name="[Measures].[Sum of Total_Days]" caption="Sum of Total_Days" numFmtId="0" hierarchy="25" level="32767"/>
    <cacheField name="[Table3].[AQI_Bucket].[AQI_Bucket]" caption="AQI_Bucket" numFmtId="0" hierarchy="7" level="1">
      <sharedItems containsSemiMixedTypes="0" containsNonDate="0" containsString="0"/>
    </cacheField>
  </cacheFields>
  <cacheHierarchies count="37">
    <cacheHierarchy uniqueName="[Table1].[City]" caption="City" attribute="1" defaultMemberUniqueName="[Table1].[City].[All]" allUniqueName="[Table1].[Cit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vg_AQI]" caption="Avg_AQI" attribute="1" defaultMemberUniqueName="[Table1].[Avg_AQI].[All]" allUniqueName="[Table1].[Avg_AQI].[All]" dimensionUniqueName="[Table1]" displayFolder="" count="0" memberValueDatatype="5"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2].[AQI_Bucket]" caption="AQI_Bucket" attribute="1" defaultMemberUniqueName="[Table2].[AQI_Bucket].[All]" allUniqueName="[Table2].[AQI_Bucket].[All]" dimensionUniqueName="[Table2]" displayFolder="" count="0" memberValueDatatype="130" unbalanced="0"/>
    <cacheHierarchy uniqueName="[Table2].[Total_Days]" caption="Total_Days" attribute="1" defaultMemberUniqueName="[Table2].[Total_Days].[All]" allUniqueName="[Table2].[Total_Days].[All]" dimensionUniqueName="[Table2]"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AQI_Bucket]" caption="AQI_Bucket" attribute="1" defaultMemberUniqueName="[Table3].[AQI_Bucket].[All]" allUniqueName="[Table3].[AQI_Bucket].[All]" dimensionUniqueName="[Table3]" displayFolder="" count="2" memberValueDatatype="130" unbalanced="0">
      <fieldsUsage count="2">
        <fieldUsage x="-1"/>
        <fieldUsage x="2"/>
      </fieldsUsage>
    </cacheHierarchy>
    <cacheHierarchy uniqueName="[Table3].[Total_Days]" caption="Total_Days" attribute="1" defaultMemberUniqueName="[Table3].[Total_Days].[All]" allUniqueName="[Table3].[Total_Days].[All]" dimensionUniqueName="[Table3]" displayFolder="" count="0" memberValueDatatype="20" unbalanced="0"/>
    <cacheHierarchy uniqueName="[Table4].[Month]" caption="Month" attribute="1" defaultMemberUniqueName="[Table4].[Month].[All]" allUniqueName="[Table4].[Month].[All]" dimensionUniqueName="[Table4]" displayFolder="" count="2" memberValueDatatype="130" unbalanced="0"/>
    <cacheHierarchy uniqueName="[Table4].[Avg_PM2_5]" caption="Avg_PM2_5" attribute="1" defaultMemberUniqueName="[Table4].[Avg_PM2_5].[All]" allUniqueName="[Table4].[Avg_PM2_5].[All]" dimensionUniqueName="[Table4]" displayFolder="" count="0" memberValueDatatype="5" unbalanced="0"/>
    <cacheHierarchy uniqueName="[Table4].[Avg_PM10]" caption="Avg_PM10" attribute="1" defaultMemberUniqueName="[Table4].[Avg_PM10].[All]" allUniqueName="[Table4].[Avg_PM10].[All]" dimensionUniqueName="[Table4]" displayFolder="" count="0" memberValueDatatype="5" unbalanced="0"/>
    <cacheHierarchy uniqueName="[Table5].[Pollutant]" caption="Pollutant" attribute="1" defaultMemberUniqueName="[Table5].[Pollutant].[All]" allUniqueName="[Table5].[Pollutant].[All]" dimensionUniqueName="[Table5]" displayFolder="" count="2" memberValueDatatype="130" unbalanced="0"/>
    <cacheHierarchy uniqueName="[Table5].[Frequency]" caption="Frequency" attribute="1" defaultMemberUniqueName="[Table5].[Frequency].[All]" allUniqueName="[Table5].[Frequency].[All]" dimensionUniqueName="[Table5]" displayFolder="" count="0" memberValueDatatype="20" unbalanced="0"/>
    <cacheHierarchy uniqueName="[Table6].[State]" caption="State" attribute="1" defaultMemberUniqueName="[Table6].[State].[All]" allUniqueName="[Table6].[State].[All]" dimensionUniqueName="[Table6]" displayFolder="" count="2" memberValueDatatype="130" unbalanced="0"/>
    <cacheHierarchy uniqueName="[Table6].[Cnt_Stations]" caption="Cnt_Stations" attribute="1" defaultMemberUniqueName="[Table6].[Cnt_Stations].[All]" allUniqueName="[Table6].[Cnt_Stations].[All]" dimensionUniqueName="[Table6]" displayFolder="" count="0" memberValueDatatype="20" unbalanced="0"/>
    <cacheHierarchy uniqueName="[Table6].[Avg_AQI]" caption="Avg_AQI" attribute="1" defaultMemberUniqueName="[Table6].[Avg_AQI].[All]" allUniqueName="[Table6].[Avg_AQI].[All]" dimensionUniqueName="[Table6]"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AQI]" caption="Sum of Avg_AQI" measure="1" displayFolder="" measureGroup="Table1" count="0" hidden="1">
      <extLst>
        <ext xmlns:x15="http://schemas.microsoft.com/office/spreadsheetml/2010/11/main" uri="{B97F6D7D-B522-45F9-BDA1-12C45D357490}">
          <x15:cacheHierarchy aggregatedColumn="2"/>
        </ext>
      </extLst>
    </cacheHierarchy>
    <cacheHierarchy uniqueName="[Measures].[Sum of Total_Days]" caption="Sum of Total_Days" measure="1" displayFolder="" measureGroup="Table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otal_Days 2]" caption="Sum of Total_Days 2" measure="1" displayFolder="" measureGroup="Table3" count="0" hidden="1">
      <extLst>
        <ext xmlns:x15="http://schemas.microsoft.com/office/spreadsheetml/2010/11/main" uri="{B97F6D7D-B522-45F9-BDA1-12C45D357490}">
          <x15:cacheHierarchy aggregatedColumn="8"/>
        </ext>
      </extLst>
    </cacheHierarchy>
    <cacheHierarchy uniqueName="[Measures].[Sum of Avg_PM2_5]" caption="Sum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Avg_PM10]" caption="Sum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10]" caption="Average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2_5]" caption="Average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Cnt_Stations]" caption="Sum of Cnt_Stations" measure="1" displayFolder="" measureGroup="Table6" count="0" hidden="1">
      <extLst>
        <ext xmlns:x15="http://schemas.microsoft.com/office/spreadsheetml/2010/11/main" uri="{B97F6D7D-B522-45F9-BDA1-12C45D357490}">
          <x15:cacheHierarchy aggregatedColumn="15"/>
        </ext>
      </extLst>
    </cacheHierarchy>
    <cacheHierarchy uniqueName="[Measures].[Sum of Avg_AQI 2]" caption="Sum of Avg_AQI 2" measure="1" displayFolder="" measureGroup="Table6" count="0" hidden="1">
      <extLst>
        <ext xmlns:x15="http://schemas.microsoft.com/office/spreadsheetml/2010/11/main" uri="{B97F6D7D-B522-45F9-BDA1-12C45D357490}">
          <x15:cacheHierarchy aggregatedColumn="16"/>
        </ext>
      </extLst>
    </cacheHierarchy>
    <cacheHierarchy uniqueName="[Measures].[Count of Cnt_Stations]" caption="Count of Cnt_Stations" measure="1" displayFolder="" measureGroup="Table6" count="0" hidden="1">
      <extLst>
        <ext xmlns:x15="http://schemas.microsoft.com/office/spreadsheetml/2010/11/main" uri="{B97F6D7D-B522-45F9-BDA1-12C45D357490}">
          <x15:cacheHierarchy aggregatedColumn="15"/>
        </ext>
      </extLst>
    </cacheHierarchy>
    <cacheHierarchy uniqueName="[Measures].[Average of Avg_AQI]" caption="Average of Avg_AQI" measure="1" displayFolder="" measureGroup="Table6" count="0" hidden="1">
      <extLst>
        <ext xmlns:x15="http://schemas.microsoft.com/office/spreadsheetml/2010/11/main" uri="{B97F6D7D-B522-45F9-BDA1-12C45D357490}">
          <x15:cacheHierarchy aggregatedColumn="16"/>
        </ext>
      </extLst>
    </cacheHierarchy>
    <cacheHierarchy uniqueName="[Measures].[Average of Avg_AQI 2]" caption="Average of Avg_AQI 2" measure="1" displayFolder="" measureGroup="Table1" count="0" hidden="1">
      <extLst>
        <ext xmlns:x15="http://schemas.microsoft.com/office/spreadsheetml/2010/11/main" uri="{B97F6D7D-B522-45F9-BDA1-12C45D357490}">
          <x15:cacheHierarchy aggregatedColumn="2"/>
        </ext>
      </extLst>
    </cacheHierarchy>
    <cacheHierarchy uniqueName="[Measures].[Sum of Frequency]" caption="Sum of Frequency" measure="1" displayFolder="" measureGroup="Table5" count="0" hidden="1">
      <extLst>
        <ext xmlns:x15="http://schemas.microsoft.com/office/spreadsheetml/2010/11/main" uri="{B97F6D7D-B522-45F9-BDA1-12C45D357490}">
          <x15:cacheHierarchy aggregatedColumn="13"/>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MD-308" refreshedDate="46039.561266203702" backgroundQuery="1" createdVersion="8" refreshedVersion="8" minRefreshableVersion="3" recordCount="0" supportSubquery="1" supportAdvancedDrill="1" xr:uid="{4CB1DB8C-647A-486A-8FD2-865B904D3991}">
  <cacheSource type="external" connectionId="1"/>
  <cacheFields count="3">
    <cacheField name="[Table2].[City].[City]" caption="City" numFmtId="0" hierarchy="3" level="1">
      <sharedItems count="10">
        <s v="Ahmedabad"/>
        <s v="Brajrajnagar"/>
        <s v="Delhi"/>
        <s v="Gurugram"/>
        <s v="Guwahati"/>
        <s v="Jorapokhar"/>
        <s v="Kolkata"/>
        <s v="Lucknow"/>
        <s v="Patna"/>
        <s v="Talcher"/>
      </sharedItems>
    </cacheField>
    <cacheField name="[Measures].[Sum of Total_Days]" caption="Sum of Total_Days" numFmtId="0" hierarchy="25" level="32767"/>
    <cacheField name="[Table3].[AQI_Bucket].[AQI_Bucket]" caption="AQI_Bucket" numFmtId="0" hierarchy="7" level="1">
      <sharedItems containsSemiMixedTypes="0" containsNonDate="0" containsString="0"/>
    </cacheField>
  </cacheFields>
  <cacheHierarchies count="37">
    <cacheHierarchy uniqueName="[Table1].[City]" caption="City" attribute="1" defaultMemberUniqueName="[Table1].[City].[All]" allUniqueName="[Table1].[Cit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vg_AQI]" caption="Avg_AQI" attribute="1" defaultMemberUniqueName="[Table1].[Avg_AQI].[All]" allUniqueName="[Table1].[Avg_AQI].[All]" dimensionUniqueName="[Table1]" displayFolder="" count="2" memberValueDatatype="5"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2].[AQI_Bucket]" caption="AQI_Bucket" attribute="1" defaultMemberUniqueName="[Table2].[AQI_Bucket].[All]" allUniqueName="[Table2].[AQI_Bucket].[All]" dimensionUniqueName="[Table2]" displayFolder="" count="2" memberValueDatatype="130" unbalanced="0"/>
    <cacheHierarchy uniqueName="[Table2].[Total_Days]" caption="Total_Days" attribute="1" defaultMemberUniqueName="[Table2].[Total_Days].[All]" allUniqueName="[Table2].[Total_Days].[All]" dimensionUniqueName="[Table2]" displayFolder="" count="2" memberValueDatatype="20" unbalanced="0"/>
    <cacheHierarchy uniqueName="[Table3].[City]" caption="City" attribute="1" defaultMemberUniqueName="[Table3].[City].[All]" allUniqueName="[Table3].[City].[All]" dimensionUniqueName="[Table3]" displayFolder="" count="2" memberValueDatatype="130" unbalanced="0"/>
    <cacheHierarchy uniqueName="[Table3].[AQI_Bucket]" caption="AQI_Bucket" attribute="1" defaultMemberUniqueName="[Table3].[AQI_Bucket].[All]" allUniqueName="[Table3].[AQI_Bucket].[All]" dimensionUniqueName="[Table3]" displayFolder="" count="2" memberValueDatatype="130" unbalanced="0">
      <fieldsUsage count="2">
        <fieldUsage x="-1"/>
        <fieldUsage x="2"/>
      </fieldsUsage>
    </cacheHierarchy>
    <cacheHierarchy uniqueName="[Table3].[Total_Days]" caption="Total_Days" attribute="1" defaultMemberUniqueName="[Table3].[Total_Days].[All]" allUniqueName="[Table3].[Total_Days].[All]" dimensionUniqueName="[Table3]" displayFolder="" count="2" memberValueDatatype="20" unbalanced="0"/>
    <cacheHierarchy uniqueName="[Table4].[Month]" caption="Month" attribute="1" defaultMemberUniqueName="[Table4].[Month].[All]" allUniqueName="[Table4].[Month].[All]" dimensionUniqueName="[Table4]" displayFolder="" count="2" memberValueDatatype="130" unbalanced="0"/>
    <cacheHierarchy uniqueName="[Table4].[Avg_PM2_5]" caption="Avg_PM2_5" attribute="1" defaultMemberUniqueName="[Table4].[Avg_PM2_5].[All]" allUniqueName="[Table4].[Avg_PM2_5].[All]" dimensionUniqueName="[Table4]" displayFolder="" count="2" memberValueDatatype="5" unbalanced="0"/>
    <cacheHierarchy uniqueName="[Table4].[Avg_PM10]" caption="Avg_PM10" attribute="1" defaultMemberUniqueName="[Table4].[Avg_PM10].[All]" allUniqueName="[Table4].[Avg_PM10].[All]" dimensionUniqueName="[Table4]" displayFolder="" count="2" memberValueDatatype="5" unbalanced="0"/>
    <cacheHierarchy uniqueName="[Table5].[Pollutant]" caption="Pollutant" attribute="1" defaultMemberUniqueName="[Table5].[Pollutant].[All]" allUniqueName="[Table5].[Pollutant].[All]" dimensionUniqueName="[Table5]" displayFolder="" count="2" memberValueDatatype="130" unbalanced="0"/>
    <cacheHierarchy uniqueName="[Table5].[Frequency]" caption="Frequency" attribute="1" defaultMemberUniqueName="[Table5].[Frequency].[All]" allUniqueName="[Table5].[Frequency].[All]" dimensionUniqueName="[Table5]" displayFolder="" count="2" memberValueDatatype="20" unbalanced="0"/>
    <cacheHierarchy uniqueName="[Table6].[State]" caption="State" attribute="1" defaultMemberUniqueName="[Table6].[State].[All]" allUniqueName="[Table6].[State].[All]" dimensionUniqueName="[Table6]" displayFolder="" count="2" memberValueDatatype="130" unbalanced="0"/>
    <cacheHierarchy uniqueName="[Table6].[Cnt_Stations]" caption="Cnt_Stations" attribute="1" defaultMemberUniqueName="[Table6].[Cnt_Stations].[All]" allUniqueName="[Table6].[Cnt_Stations].[All]" dimensionUniqueName="[Table6]" displayFolder="" count="2" memberValueDatatype="20" unbalanced="0"/>
    <cacheHierarchy uniqueName="[Table6].[Avg_AQI]" caption="Avg_AQI" attribute="1" defaultMemberUniqueName="[Table6].[Avg_AQI].[All]" allUniqueName="[Table6].[Avg_AQI].[All]" dimensionUniqueName="[Table6]" displayFolder="" count="2"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AQI]" caption="Sum of Avg_AQI" measure="1" displayFolder="" measureGroup="Table1" count="0" hidden="1">
      <extLst>
        <ext xmlns:x15="http://schemas.microsoft.com/office/spreadsheetml/2010/11/main" uri="{B97F6D7D-B522-45F9-BDA1-12C45D357490}">
          <x15:cacheHierarchy aggregatedColumn="2"/>
        </ext>
      </extLst>
    </cacheHierarchy>
    <cacheHierarchy uniqueName="[Measures].[Sum of Total_Days]" caption="Sum of Total_Days" measure="1" displayFolder="" measureGroup="Table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otal_Days 2]" caption="Sum of Total_Days 2" measure="1" displayFolder="" measureGroup="Table3" count="0" hidden="1">
      <extLst>
        <ext xmlns:x15="http://schemas.microsoft.com/office/spreadsheetml/2010/11/main" uri="{B97F6D7D-B522-45F9-BDA1-12C45D357490}">
          <x15:cacheHierarchy aggregatedColumn="8"/>
        </ext>
      </extLst>
    </cacheHierarchy>
    <cacheHierarchy uniqueName="[Measures].[Sum of Avg_PM2_5]" caption="Sum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Avg_PM10]" caption="Sum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10]" caption="Average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2_5]" caption="Average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Cnt_Stations]" caption="Sum of Cnt_Stations" measure="1" displayFolder="" measureGroup="Table6" count="0" hidden="1">
      <extLst>
        <ext xmlns:x15="http://schemas.microsoft.com/office/spreadsheetml/2010/11/main" uri="{B97F6D7D-B522-45F9-BDA1-12C45D357490}">
          <x15:cacheHierarchy aggregatedColumn="15"/>
        </ext>
      </extLst>
    </cacheHierarchy>
    <cacheHierarchy uniqueName="[Measures].[Sum of Avg_AQI 2]" caption="Sum of Avg_AQI 2" measure="1" displayFolder="" measureGroup="Table6" count="0" hidden="1">
      <extLst>
        <ext xmlns:x15="http://schemas.microsoft.com/office/spreadsheetml/2010/11/main" uri="{B97F6D7D-B522-45F9-BDA1-12C45D357490}">
          <x15:cacheHierarchy aggregatedColumn="16"/>
        </ext>
      </extLst>
    </cacheHierarchy>
    <cacheHierarchy uniqueName="[Measures].[Count of Cnt_Stations]" caption="Count of Cnt_Stations" measure="1" displayFolder="" measureGroup="Table6" count="0" hidden="1">
      <extLst>
        <ext xmlns:x15="http://schemas.microsoft.com/office/spreadsheetml/2010/11/main" uri="{B97F6D7D-B522-45F9-BDA1-12C45D357490}">
          <x15:cacheHierarchy aggregatedColumn="15"/>
        </ext>
      </extLst>
    </cacheHierarchy>
    <cacheHierarchy uniqueName="[Measures].[Average of Avg_AQI]" caption="Average of Avg_AQI" measure="1" displayFolder="" measureGroup="Table6" count="0" hidden="1">
      <extLst>
        <ext xmlns:x15="http://schemas.microsoft.com/office/spreadsheetml/2010/11/main" uri="{B97F6D7D-B522-45F9-BDA1-12C45D357490}">
          <x15:cacheHierarchy aggregatedColumn="16"/>
        </ext>
      </extLst>
    </cacheHierarchy>
    <cacheHierarchy uniqueName="[Measures].[Average of Avg_AQI 2]" caption="Average of Avg_AQI 2" measure="1" displayFolder="" measureGroup="Table1" count="0" hidden="1">
      <extLst>
        <ext xmlns:x15="http://schemas.microsoft.com/office/spreadsheetml/2010/11/main" uri="{B97F6D7D-B522-45F9-BDA1-12C45D357490}">
          <x15:cacheHierarchy aggregatedColumn="2"/>
        </ext>
      </extLst>
    </cacheHierarchy>
    <cacheHierarchy uniqueName="[Measures].[Sum of Frequency]" caption="Sum of Frequency" measure="1" displayFolder="" measureGroup="Table5" count="0" hidden="1">
      <extLst>
        <ext xmlns:x15="http://schemas.microsoft.com/office/spreadsheetml/2010/11/main" uri="{B97F6D7D-B522-45F9-BDA1-12C45D357490}">
          <x15:cacheHierarchy aggregatedColumn="13"/>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MD-308" refreshedDate="46039.561267129633" backgroundQuery="1" createdVersion="8" refreshedVersion="8" minRefreshableVersion="3" recordCount="0" supportSubquery="1" supportAdvancedDrill="1" xr:uid="{2EEDF637-3F07-433A-B232-69112543D304}">
  <cacheSource type="external" connectionId="1"/>
  <cacheFields count="4">
    <cacheField name="[Table6].[State].[State]" caption="State" numFmtId="0" hierarchy="14" level="1">
      <sharedItems count="21">
        <s v="Andhra Pradesh"/>
        <s v="Assam"/>
        <s v="Bihar"/>
        <s v="Chandigarh"/>
        <s v="Delhi"/>
        <s v="Gujarat"/>
        <s v="Haryana"/>
        <s v="Jharkhand"/>
        <s v="Karnataka"/>
        <s v="Kerala"/>
        <s v="Madhya Pradesh"/>
        <s v="Maharashtra"/>
        <s v="Meghalaya"/>
        <s v="Mizoram"/>
        <s v="Odisha"/>
        <s v="Punjab"/>
        <s v="Rajasthan"/>
        <s v="Tamil Nadu"/>
        <s v="Telangana"/>
        <s v="Uttar Pradesh"/>
        <s v="West Bengal"/>
      </sharedItems>
    </cacheField>
    <cacheField name="[Measures].[Sum of Cnt_Stations]" caption="Sum of Cnt_Stations" numFmtId="0" hierarchy="31" level="32767"/>
    <cacheField name="[Measures].[Average of Avg_AQI]" caption="Average of Avg_AQI" numFmtId="0" hierarchy="34" level="32767"/>
    <cacheField name="[Table3].[AQI_Bucket].[AQI_Bucket]" caption="AQI_Bucket" numFmtId="0" hierarchy="7" level="1">
      <sharedItems containsSemiMixedTypes="0" containsNonDate="0" containsString="0"/>
    </cacheField>
  </cacheFields>
  <cacheHierarchies count="37">
    <cacheHierarchy uniqueName="[Table1].[City]" caption="City" attribute="1" defaultMemberUniqueName="[Table1].[City].[All]" allUniqueName="[Table1].[Cit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vg_AQI]" caption="Avg_AQI" attribute="1" defaultMemberUniqueName="[Table1].[Avg_AQI].[All]" allUniqueName="[Table1].[Avg_AQI].[All]" dimensionUniqueName="[Table1]" displayFolder="" count="2" memberValueDatatype="5" unbalanced="0"/>
    <cacheHierarchy uniqueName="[Table2].[City]" caption="City" attribute="1" defaultMemberUniqueName="[Table2].[City].[All]" allUniqueName="[Table2].[City].[All]" dimensionUniqueName="[Table2]" displayFolder="" count="2" memberValueDatatype="130" unbalanced="0"/>
    <cacheHierarchy uniqueName="[Table2].[AQI_Bucket]" caption="AQI_Bucket" attribute="1" defaultMemberUniqueName="[Table2].[AQI_Bucket].[All]" allUniqueName="[Table2].[AQI_Bucket].[All]" dimensionUniqueName="[Table2]" displayFolder="" count="2" memberValueDatatype="130" unbalanced="0"/>
    <cacheHierarchy uniqueName="[Table2].[Total_Days]" caption="Total_Days" attribute="1" defaultMemberUniqueName="[Table2].[Total_Days].[All]" allUniqueName="[Table2].[Total_Days].[All]" dimensionUniqueName="[Table2]" displayFolder="" count="2" memberValueDatatype="20" unbalanced="0"/>
    <cacheHierarchy uniqueName="[Table3].[City]" caption="City" attribute="1" defaultMemberUniqueName="[Table3].[City].[All]" allUniqueName="[Table3].[City].[All]" dimensionUniqueName="[Table3]" displayFolder="" count="2" memberValueDatatype="130" unbalanced="0"/>
    <cacheHierarchy uniqueName="[Table3].[AQI_Bucket]" caption="AQI_Bucket" attribute="1" defaultMemberUniqueName="[Table3].[AQI_Bucket].[All]" allUniqueName="[Table3].[AQI_Bucket].[All]" dimensionUniqueName="[Table3]" displayFolder="" count="2" memberValueDatatype="130" unbalanced="0">
      <fieldsUsage count="2">
        <fieldUsage x="-1"/>
        <fieldUsage x="3"/>
      </fieldsUsage>
    </cacheHierarchy>
    <cacheHierarchy uniqueName="[Table3].[Total_Days]" caption="Total_Days" attribute="1" defaultMemberUniqueName="[Table3].[Total_Days].[All]" allUniqueName="[Table3].[Total_Days].[All]" dimensionUniqueName="[Table3]" displayFolder="" count="2" memberValueDatatype="20" unbalanced="0"/>
    <cacheHierarchy uniqueName="[Table4].[Month]" caption="Month" attribute="1" defaultMemberUniqueName="[Table4].[Month].[All]" allUniqueName="[Table4].[Month].[All]" dimensionUniqueName="[Table4]" displayFolder="" count="2" memberValueDatatype="130" unbalanced="0"/>
    <cacheHierarchy uniqueName="[Table4].[Avg_PM2_5]" caption="Avg_PM2_5" attribute="1" defaultMemberUniqueName="[Table4].[Avg_PM2_5].[All]" allUniqueName="[Table4].[Avg_PM2_5].[All]" dimensionUniqueName="[Table4]" displayFolder="" count="2" memberValueDatatype="5" unbalanced="0"/>
    <cacheHierarchy uniqueName="[Table4].[Avg_PM10]" caption="Avg_PM10" attribute="1" defaultMemberUniqueName="[Table4].[Avg_PM10].[All]" allUniqueName="[Table4].[Avg_PM10].[All]" dimensionUniqueName="[Table4]" displayFolder="" count="2" memberValueDatatype="5" unbalanced="0"/>
    <cacheHierarchy uniqueName="[Table5].[Pollutant]" caption="Pollutant" attribute="1" defaultMemberUniqueName="[Table5].[Pollutant].[All]" allUniqueName="[Table5].[Pollutant].[All]" dimensionUniqueName="[Table5]" displayFolder="" count="2" memberValueDatatype="130" unbalanced="0"/>
    <cacheHierarchy uniqueName="[Table5].[Frequency]" caption="Frequency" attribute="1" defaultMemberUniqueName="[Table5].[Frequency].[All]" allUniqueName="[Table5].[Frequency].[All]" dimensionUniqueName="[Table5]" displayFolder="" count="2" memberValueDatatype="20" unbalanced="0"/>
    <cacheHierarchy uniqueName="[Table6].[State]" caption="State" attribute="1" defaultMemberUniqueName="[Table6].[State].[All]" allUniqueName="[Table6].[State].[All]" dimensionUniqueName="[Table6]" displayFolder="" count="2" memberValueDatatype="130" unbalanced="0">
      <fieldsUsage count="2">
        <fieldUsage x="-1"/>
        <fieldUsage x="0"/>
      </fieldsUsage>
    </cacheHierarchy>
    <cacheHierarchy uniqueName="[Table6].[Cnt_Stations]" caption="Cnt_Stations" attribute="1" defaultMemberUniqueName="[Table6].[Cnt_Stations].[All]" allUniqueName="[Table6].[Cnt_Stations].[All]" dimensionUniqueName="[Table6]" displayFolder="" count="2" memberValueDatatype="20" unbalanced="0"/>
    <cacheHierarchy uniqueName="[Table6].[Avg_AQI]" caption="Avg_AQI" attribute="1" defaultMemberUniqueName="[Table6].[Avg_AQI].[All]" allUniqueName="[Table6].[Avg_AQI].[All]" dimensionUniqueName="[Table6]" displayFolder="" count="2"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AQI]" caption="Sum of Avg_AQI" measure="1" displayFolder="" measureGroup="Table1" count="0" hidden="1">
      <extLst>
        <ext xmlns:x15="http://schemas.microsoft.com/office/spreadsheetml/2010/11/main" uri="{B97F6D7D-B522-45F9-BDA1-12C45D357490}">
          <x15:cacheHierarchy aggregatedColumn="2"/>
        </ext>
      </extLst>
    </cacheHierarchy>
    <cacheHierarchy uniqueName="[Measures].[Sum of Total_Days]" caption="Sum of Total_Days" measure="1" displayFolder="" measureGroup="Table2" count="0" hidden="1">
      <extLst>
        <ext xmlns:x15="http://schemas.microsoft.com/office/spreadsheetml/2010/11/main" uri="{B97F6D7D-B522-45F9-BDA1-12C45D357490}">
          <x15:cacheHierarchy aggregatedColumn="5"/>
        </ext>
      </extLst>
    </cacheHierarchy>
    <cacheHierarchy uniqueName="[Measures].[Sum of Total_Days 2]" caption="Sum of Total_Days 2" measure="1" displayFolder="" measureGroup="Table3" count="0" hidden="1">
      <extLst>
        <ext xmlns:x15="http://schemas.microsoft.com/office/spreadsheetml/2010/11/main" uri="{B97F6D7D-B522-45F9-BDA1-12C45D357490}">
          <x15:cacheHierarchy aggregatedColumn="8"/>
        </ext>
      </extLst>
    </cacheHierarchy>
    <cacheHierarchy uniqueName="[Measures].[Sum of Avg_PM2_5]" caption="Sum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Avg_PM10]" caption="Sum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10]" caption="Average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2_5]" caption="Average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Cnt_Stations]" caption="Sum of Cnt_Stations" measure="1" displayFolder="" measureGroup="Table6"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Avg_AQI 2]" caption="Sum of Avg_AQI 2" measure="1" displayFolder="" measureGroup="Table6" count="0" hidden="1">
      <extLst>
        <ext xmlns:x15="http://schemas.microsoft.com/office/spreadsheetml/2010/11/main" uri="{B97F6D7D-B522-45F9-BDA1-12C45D357490}">
          <x15:cacheHierarchy aggregatedColumn="16"/>
        </ext>
      </extLst>
    </cacheHierarchy>
    <cacheHierarchy uniqueName="[Measures].[Count of Cnt_Stations]" caption="Count of Cnt_Stations" measure="1" displayFolder="" measureGroup="Table6" count="0" hidden="1">
      <extLst>
        <ext xmlns:x15="http://schemas.microsoft.com/office/spreadsheetml/2010/11/main" uri="{B97F6D7D-B522-45F9-BDA1-12C45D357490}">
          <x15:cacheHierarchy aggregatedColumn="15"/>
        </ext>
      </extLst>
    </cacheHierarchy>
    <cacheHierarchy uniqueName="[Measures].[Average of Avg_AQI]" caption="Average of Avg_AQI" measure="1" displayFolder="" measureGroup="Table6" count="0" oneField="1" hidden="1">
      <fieldsUsage count="1">
        <fieldUsage x="2"/>
      </fieldsUsage>
      <extLst>
        <ext xmlns:x15="http://schemas.microsoft.com/office/spreadsheetml/2010/11/main" uri="{B97F6D7D-B522-45F9-BDA1-12C45D357490}">
          <x15:cacheHierarchy aggregatedColumn="16"/>
        </ext>
      </extLst>
    </cacheHierarchy>
    <cacheHierarchy uniqueName="[Measures].[Average of Avg_AQI 2]" caption="Average of Avg_AQI 2" measure="1" displayFolder="" measureGroup="Table1" count="0" hidden="1">
      <extLst>
        <ext xmlns:x15="http://schemas.microsoft.com/office/spreadsheetml/2010/11/main" uri="{B97F6D7D-B522-45F9-BDA1-12C45D357490}">
          <x15:cacheHierarchy aggregatedColumn="2"/>
        </ext>
      </extLst>
    </cacheHierarchy>
    <cacheHierarchy uniqueName="[Measures].[Sum of Frequency]" caption="Sum of Frequency" measure="1" displayFolder="" measureGroup="Table5" count="0" hidden="1">
      <extLst>
        <ext xmlns:x15="http://schemas.microsoft.com/office/spreadsheetml/2010/11/main" uri="{B97F6D7D-B522-45F9-BDA1-12C45D357490}">
          <x15:cacheHierarchy aggregatedColumn="13"/>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MD-308" refreshedDate="46039.549851504627" backgroundQuery="1" createdVersion="3" refreshedVersion="8" minRefreshableVersion="3" recordCount="0" supportSubquery="1" supportAdvancedDrill="1" xr:uid="{885F7F41-8D94-48CF-B785-BCF5E99B6E5F}">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City]" caption="City" attribute="1" defaultMemberUniqueName="[Table1].[City].[All]" allUniqueName="[Table1].[Cit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vg_AQI]" caption="Avg_AQI" attribute="1" defaultMemberUniqueName="[Table1].[Avg_AQI].[All]" allUniqueName="[Table1].[Avg_AQI].[All]" dimensionUniqueName="[Table1]"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Table2].[AQI_Bucket]" caption="AQI_Bucket" attribute="1" defaultMemberUniqueName="[Table2].[AQI_Bucket].[All]" allUniqueName="[Table2].[AQI_Bucket].[All]" dimensionUniqueName="[Table2]" displayFolder="" count="0" memberValueDatatype="130" unbalanced="0"/>
    <cacheHierarchy uniqueName="[Table2].[Total_Days]" caption="Total_Days" attribute="1" defaultMemberUniqueName="[Table2].[Total_Days].[All]" allUniqueName="[Table2].[Total_Days].[All]" dimensionUniqueName="[Table2]" displayFolder="" count="0" memberValueDatatype="20" unbalanced="0"/>
    <cacheHierarchy uniqueName="[Table3].[City]" caption="City" attribute="1" defaultMemberUniqueName="[Table3].[City].[All]" allUniqueName="[Table3].[City].[All]" dimensionUniqueName="[Table3]" displayFolder="" count="0" memberValueDatatype="130" unbalanced="0"/>
    <cacheHierarchy uniqueName="[Table3].[AQI_Bucket]" caption="AQI_Bucket" attribute="1" defaultMemberUniqueName="[Table3].[AQI_Bucket].[All]" allUniqueName="[Table3].[AQI_Bucket].[All]" dimensionUniqueName="[Table3]" displayFolder="" count="2" memberValueDatatype="130" unbalanced="0"/>
    <cacheHierarchy uniqueName="[Table3].[Total_Days]" caption="Total_Days" attribute="1" defaultMemberUniqueName="[Table3].[Total_Days].[All]" allUniqueName="[Table3].[Total_Days].[All]" dimensionUniqueName="[Table3]" displayFolder="" count="0" memberValueDatatype="20" unbalanced="0"/>
    <cacheHierarchy uniqueName="[Table4].[Month]" caption="Month" attribute="1" defaultMemberUniqueName="[Table4].[Month].[All]" allUniqueName="[Table4].[Month].[All]" dimensionUniqueName="[Table4]" displayFolder="" count="2" memberValueDatatype="130" unbalanced="0"/>
    <cacheHierarchy uniqueName="[Table4].[Avg_PM2_5]" caption="Avg_PM2_5" attribute="1" defaultMemberUniqueName="[Table4].[Avg_PM2_5].[All]" allUniqueName="[Table4].[Avg_PM2_5].[All]" dimensionUniqueName="[Table4]" displayFolder="" count="0" memberValueDatatype="5" unbalanced="0"/>
    <cacheHierarchy uniqueName="[Table4].[Avg_PM10]" caption="Avg_PM10" attribute="1" defaultMemberUniqueName="[Table4].[Avg_PM10].[All]" allUniqueName="[Table4].[Avg_PM10].[All]" dimensionUniqueName="[Table4]" displayFolder="" count="0" memberValueDatatype="5" unbalanced="0"/>
    <cacheHierarchy uniqueName="[Table5].[Pollutant]" caption="Pollutant" attribute="1" defaultMemberUniqueName="[Table5].[Pollutant].[All]" allUniqueName="[Table5].[Pollutant].[All]" dimensionUniqueName="[Table5]" displayFolder="" count="2" memberValueDatatype="130" unbalanced="0"/>
    <cacheHierarchy uniqueName="[Table5].[Frequency]" caption="Frequency" attribute="1" defaultMemberUniqueName="[Table5].[Frequency].[All]" allUniqueName="[Table5].[Frequency].[All]" dimensionUniqueName="[Table5]" displayFolder="" count="0" memberValueDatatype="20" unbalanced="0"/>
    <cacheHierarchy uniqueName="[Table6].[State]" caption="State" attribute="1" defaultMemberUniqueName="[Table6].[State].[All]" allUniqueName="[Table6].[State].[All]" dimensionUniqueName="[Table6]" displayFolder="" count="2" memberValueDatatype="130" unbalanced="0"/>
    <cacheHierarchy uniqueName="[Table6].[Cnt_Stations]" caption="Cnt_Stations" attribute="1" defaultMemberUniqueName="[Table6].[Cnt_Stations].[All]" allUniqueName="[Table6].[Cnt_Stations].[All]" dimensionUniqueName="[Table6]" displayFolder="" count="0" memberValueDatatype="20" unbalanced="0"/>
    <cacheHierarchy uniqueName="[Table6].[Avg_AQI]" caption="Avg_AQI" attribute="1" defaultMemberUniqueName="[Table6].[Avg_AQI].[All]" allUniqueName="[Table6].[Avg_AQI].[All]" dimensionUniqueName="[Table6]"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AQI]" caption="Sum of Avg_AQI" measure="1" displayFolder="" measureGroup="Table1" count="0" hidden="1">
      <extLst>
        <ext xmlns:x15="http://schemas.microsoft.com/office/spreadsheetml/2010/11/main" uri="{B97F6D7D-B522-45F9-BDA1-12C45D357490}">
          <x15:cacheHierarchy aggregatedColumn="2"/>
        </ext>
      </extLst>
    </cacheHierarchy>
    <cacheHierarchy uniqueName="[Measures].[Sum of Total_Days]" caption="Sum of Total_Days" measure="1" displayFolder="" measureGroup="Table2" count="0" hidden="1">
      <extLst>
        <ext xmlns:x15="http://schemas.microsoft.com/office/spreadsheetml/2010/11/main" uri="{B97F6D7D-B522-45F9-BDA1-12C45D357490}">
          <x15:cacheHierarchy aggregatedColumn="5"/>
        </ext>
      </extLst>
    </cacheHierarchy>
    <cacheHierarchy uniqueName="[Measures].[Sum of Total_Days 2]" caption="Sum of Total_Days 2" measure="1" displayFolder="" measureGroup="Table3" count="0" hidden="1">
      <extLst>
        <ext xmlns:x15="http://schemas.microsoft.com/office/spreadsheetml/2010/11/main" uri="{B97F6D7D-B522-45F9-BDA1-12C45D357490}">
          <x15:cacheHierarchy aggregatedColumn="8"/>
        </ext>
      </extLst>
    </cacheHierarchy>
    <cacheHierarchy uniqueName="[Measures].[Sum of Avg_PM2_5]" caption="Sum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Avg_PM10]" caption="Sum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10]" caption="Average of Avg_PM10" measure="1" displayFolder="" measureGroup="Table4" count="0" hidden="1">
      <extLst>
        <ext xmlns:x15="http://schemas.microsoft.com/office/spreadsheetml/2010/11/main" uri="{B97F6D7D-B522-45F9-BDA1-12C45D357490}">
          <x15:cacheHierarchy aggregatedColumn="11"/>
        </ext>
      </extLst>
    </cacheHierarchy>
    <cacheHierarchy uniqueName="[Measures].[Average of Avg_PM2_5]" caption="Average of Avg_PM2_5" measure="1" displayFolder="" measureGroup="Table4" count="0" hidden="1">
      <extLst>
        <ext xmlns:x15="http://schemas.microsoft.com/office/spreadsheetml/2010/11/main" uri="{B97F6D7D-B522-45F9-BDA1-12C45D357490}">
          <x15:cacheHierarchy aggregatedColumn="10"/>
        </ext>
      </extLst>
    </cacheHierarchy>
    <cacheHierarchy uniqueName="[Measures].[Sum of Cnt_Stations]" caption="Sum of Cnt_Stations" measure="1" displayFolder="" measureGroup="Table6" count="0" hidden="1">
      <extLst>
        <ext xmlns:x15="http://schemas.microsoft.com/office/spreadsheetml/2010/11/main" uri="{B97F6D7D-B522-45F9-BDA1-12C45D357490}">
          <x15:cacheHierarchy aggregatedColumn="15"/>
        </ext>
      </extLst>
    </cacheHierarchy>
    <cacheHierarchy uniqueName="[Measures].[Sum of Avg_AQI 2]" caption="Sum of Avg_AQI 2" measure="1" displayFolder="" measureGroup="Table6" count="0" hidden="1">
      <extLst>
        <ext xmlns:x15="http://schemas.microsoft.com/office/spreadsheetml/2010/11/main" uri="{B97F6D7D-B522-45F9-BDA1-12C45D357490}">
          <x15:cacheHierarchy aggregatedColumn="16"/>
        </ext>
      </extLst>
    </cacheHierarchy>
    <cacheHierarchy uniqueName="[Measures].[Count of Cnt_Stations]" caption="Count of Cnt_Stations" measure="1" displayFolder="" measureGroup="Table6" count="0" hidden="1">
      <extLst>
        <ext xmlns:x15="http://schemas.microsoft.com/office/spreadsheetml/2010/11/main" uri="{B97F6D7D-B522-45F9-BDA1-12C45D357490}">
          <x15:cacheHierarchy aggregatedColumn="15"/>
        </ext>
      </extLst>
    </cacheHierarchy>
    <cacheHierarchy uniqueName="[Measures].[Average of Avg_AQI]" caption="Average of Avg_AQI" measure="1" displayFolder="" measureGroup="Table6" count="0" hidden="1">
      <extLst>
        <ext xmlns:x15="http://schemas.microsoft.com/office/spreadsheetml/2010/11/main" uri="{B97F6D7D-B522-45F9-BDA1-12C45D357490}">
          <x15:cacheHierarchy aggregatedColumn="16"/>
        </ext>
      </extLst>
    </cacheHierarchy>
    <cacheHierarchy uniqueName="[Measures].[Average of Avg_AQI 2]" caption="Average of Avg_AQI 2" measure="1" displayFolder="" measureGroup="Table1" count="0" hidden="1">
      <extLst>
        <ext xmlns:x15="http://schemas.microsoft.com/office/spreadsheetml/2010/11/main" uri="{B97F6D7D-B522-45F9-BDA1-12C45D357490}">
          <x15:cacheHierarchy aggregatedColumn="2"/>
        </ext>
      </extLst>
    </cacheHierarchy>
    <cacheHierarchy uniqueName="[Measures].[Sum of Frequency]" caption="Sum of Frequency" measure="1" displayFolder="" measureGroup="Table5"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3374415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CD19C9-45C1-4D01-B0B4-2F36D178B1F6}" name="PivotTable6" cacheId="10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Year">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g_AQI" fld="0" subtotal="average" baseField="0" baseItem="0"/>
  </dataFields>
  <formats count="1">
    <format dxfId="1">
      <pivotArea outline="0" collapsedLevelsAreSubtotals="1" fieldPosition="0"/>
    </format>
  </formats>
  <pivotHierarchies count="37">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AQI"/>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QI She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02E5DD-2E59-4B7E-9D15-57301EAA60FF}" name="City_AQI_Trend" cacheId="10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Year">
  <location ref="G2:AH10"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27">
    <i>
      <x/>
    </i>
    <i>
      <x v="1"/>
    </i>
    <i>
      <x v="2"/>
    </i>
    <i>
      <x v="3"/>
    </i>
    <i>
      <x v="4"/>
    </i>
    <i>
      <x v="5"/>
    </i>
    <i>
      <x v="6"/>
    </i>
    <i>
      <x v="7"/>
    </i>
    <i>
      <x v="8"/>
    </i>
    <i>
      <x v="9"/>
    </i>
    <i>
      <x v="10"/>
    </i>
    <i>
      <x v="11"/>
    </i>
    <i>
      <x v="12"/>
    </i>
    <i>
      <x v="13"/>
    </i>
    <i>
      <x v="14"/>
    </i>
    <i>
      <x v="15"/>
    </i>
    <i>
      <x v="16"/>
    </i>
    <i>
      <x v="17"/>
    </i>
    <i>
      <x v="18"/>
    </i>
    <i>
      <x v="19"/>
    </i>
    <i>
      <x v="20"/>
    </i>
    <i>
      <x v="21"/>
    </i>
    <i>
      <x v="22"/>
    </i>
    <i>
      <x v="23"/>
    </i>
    <i>
      <x v="24"/>
    </i>
    <i>
      <x v="25"/>
    </i>
    <i t="grand">
      <x/>
    </i>
  </colItems>
  <dataFields count="1">
    <dataField name="Sum of Avg_AQI" fld="2" baseField="0" baseItem="0" numFmtId="1"/>
  </dataFields>
  <formats count="1">
    <format dxfId="2">
      <pivotArea outline="0" collapsedLevelsAreSubtotals="1" fieldPosition="0"/>
    </format>
  </formats>
  <chartFormats count="52">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5" format="2" series="1">
      <pivotArea type="data" outline="0" fieldPosition="0">
        <references count="2">
          <reference field="4294967294" count="1" selected="0">
            <x v="0"/>
          </reference>
          <reference field="1" count="1" selected="0">
            <x v="2"/>
          </reference>
        </references>
      </pivotArea>
    </chartFormat>
    <chartFormat chart="15" format="3" series="1">
      <pivotArea type="data" outline="0" fieldPosition="0">
        <references count="2">
          <reference field="4294967294" count="1" selected="0">
            <x v="0"/>
          </reference>
          <reference field="1" count="1" selected="0">
            <x v="3"/>
          </reference>
        </references>
      </pivotArea>
    </chartFormat>
    <chartFormat chart="15" format="4" series="1">
      <pivotArea type="data" outline="0" fieldPosition="0">
        <references count="2">
          <reference field="4294967294" count="1" selected="0">
            <x v="0"/>
          </reference>
          <reference field="1" count="1" selected="0">
            <x v="4"/>
          </reference>
        </references>
      </pivotArea>
    </chartFormat>
    <chartFormat chart="15" format="5" series="1">
      <pivotArea type="data" outline="0" fieldPosition="0">
        <references count="2">
          <reference field="4294967294" count="1" selected="0">
            <x v="0"/>
          </reference>
          <reference field="1" count="1" selected="0">
            <x v="5"/>
          </reference>
        </references>
      </pivotArea>
    </chartFormat>
    <chartFormat chart="15" format="6" series="1">
      <pivotArea type="data" outline="0" fieldPosition="0">
        <references count="2">
          <reference field="4294967294" count="1" selected="0">
            <x v="0"/>
          </reference>
          <reference field="1" count="1" selected="0">
            <x v="6"/>
          </reference>
        </references>
      </pivotArea>
    </chartFormat>
    <chartFormat chart="15" format="7" series="1">
      <pivotArea type="data" outline="0" fieldPosition="0">
        <references count="2">
          <reference field="4294967294" count="1" selected="0">
            <x v="0"/>
          </reference>
          <reference field="1" count="1" selected="0">
            <x v="7"/>
          </reference>
        </references>
      </pivotArea>
    </chartFormat>
    <chartFormat chart="15" format="8" series="1">
      <pivotArea type="data" outline="0" fieldPosition="0">
        <references count="2">
          <reference field="4294967294" count="1" selected="0">
            <x v="0"/>
          </reference>
          <reference field="1" count="1" selected="0">
            <x v="8"/>
          </reference>
        </references>
      </pivotArea>
    </chartFormat>
    <chartFormat chart="15" format="9" series="1">
      <pivotArea type="data" outline="0" fieldPosition="0">
        <references count="2">
          <reference field="4294967294" count="1" selected="0">
            <x v="0"/>
          </reference>
          <reference field="1" count="1" selected="0">
            <x v="9"/>
          </reference>
        </references>
      </pivotArea>
    </chartFormat>
    <chartFormat chart="15" format="10" series="1">
      <pivotArea type="data" outline="0" fieldPosition="0">
        <references count="2">
          <reference field="4294967294" count="1" selected="0">
            <x v="0"/>
          </reference>
          <reference field="1" count="1" selected="0">
            <x v="10"/>
          </reference>
        </references>
      </pivotArea>
    </chartFormat>
    <chartFormat chart="15" format="11" series="1">
      <pivotArea type="data" outline="0" fieldPosition="0">
        <references count="2">
          <reference field="4294967294" count="1" selected="0">
            <x v="0"/>
          </reference>
          <reference field="1" count="1" selected="0">
            <x v="11"/>
          </reference>
        </references>
      </pivotArea>
    </chartFormat>
    <chartFormat chart="15" format="12" series="1">
      <pivotArea type="data" outline="0" fieldPosition="0">
        <references count="2">
          <reference field="4294967294" count="1" selected="0">
            <x v="0"/>
          </reference>
          <reference field="1" count="1" selected="0">
            <x v="12"/>
          </reference>
        </references>
      </pivotArea>
    </chartFormat>
    <chartFormat chart="15" format="13" series="1">
      <pivotArea type="data" outline="0" fieldPosition="0">
        <references count="2">
          <reference field="4294967294" count="1" selected="0">
            <x v="0"/>
          </reference>
          <reference field="1" count="1" selected="0">
            <x v="13"/>
          </reference>
        </references>
      </pivotArea>
    </chartFormat>
    <chartFormat chart="15" format="14" series="1">
      <pivotArea type="data" outline="0" fieldPosition="0">
        <references count="2">
          <reference field="4294967294" count="1" selected="0">
            <x v="0"/>
          </reference>
          <reference field="1" count="1" selected="0">
            <x v="14"/>
          </reference>
        </references>
      </pivotArea>
    </chartFormat>
    <chartFormat chart="15" format="15" series="1">
      <pivotArea type="data" outline="0" fieldPosition="0">
        <references count="2">
          <reference field="4294967294" count="1" selected="0">
            <x v="0"/>
          </reference>
          <reference field="1" count="1" selected="0">
            <x v="15"/>
          </reference>
        </references>
      </pivotArea>
    </chartFormat>
    <chartFormat chart="15" format="16" series="1">
      <pivotArea type="data" outline="0" fieldPosition="0">
        <references count="2">
          <reference field="4294967294" count="1" selected="0">
            <x v="0"/>
          </reference>
          <reference field="1" count="1" selected="0">
            <x v="16"/>
          </reference>
        </references>
      </pivotArea>
    </chartFormat>
    <chartFormat chart="15" format="17" series="1">
      <pivotArea type="data" outline="0" fieldPosition="0">
        <references count="2">
          <reference field="4294967294" count="1" selected="0">
            <x v="0"/>
          </reference>
          <reference field="1" count="1" selected="0">
            <x v="17"/>
          </reference>
        </references>
      </pivotArea>
    </chartFormat>
    <chartFormat chart="15" format="18" series="1">
      <pivotArea type="data" outline="0" fieldPosition="0">
        <references count="2">
          <reference field="4294967294" count="1" selected="0">
            <x v="0"/>
          </reference>
          <reference field="1" count="1" selected="0">
            <x v="18"/>
          </reference>
        </references>
      </pivotArea>
    </chartFormat>
    <chartFormat chart="15" format="19" series="1">
      <pivotArea type="data" outline="0" fieldPosition="0">
        <references count="2">
          <reference field="4294967294" count="1" selected="0">
            <x v="0"/>
          </reference>
          <reference field="1" count="1" selected="0">
            <x v="19"/>
          </reference>
        </references>
      </pivotArea>
    </chartFormat>
    <chartFormat chart="15" format="20" series="1">
      <pivotArea type="data" outline="0" fieldPosition="0">
        <references count="2">
          <reference field="4294967294" count="1" selected="0">
            <x v="0"/>
          </reference>
          <reference field="1" count="1" selected="0">
            <x v="20"/>
          </reference>
        </references>
      </pivotArea>
    </chartFormat>
    <chartFormat chart="15" format="21" series="1">
      <pivotArea type="data" outline="0" fieldPosition="0">
        <references count="2">
          <reference field="4294967294" count="1" selected="0">
            <x v="0"/>
          </reference>
          <reference field="1" count="1" selected="0">
            <x v="21"/>
          </reference>
        </references>
      </pivotArea>
    </chartFormat>
    <chartFormat chart="15" format="22" series="1">
      <pivotArea type="data" outline="0" fieldPosition="0">
        <references count="2">
          <reference field="4294967294" count="1" selected="0">
            <x v="0"/>
          </reference>
          <reference field="1" count="1" selected="0">
            <x v="22"/>
          </reference>
        </references>
      </pivotArea>
    </chartFormat>
    <chartFormat chart="15" format="23" series="1">
      <pivotArea type="data" outline="0" fieldPosition="0">
        <references count="2">
          <reference field="4294967294" count="1" selected="0">
            <x v="0"/>
          </reference>
          <reference field="1" count="1" selected="0">
            <x v="23"/>
          </reference>
        </references>
      </pivotArea>
    </chartFormat>
    <chartFormat chart="15" format="24" series="1">
      <pivotArea type="data" outline="0" fieldPosition="0">
        <references count="2">
          <reference field="4294967294" count="1" selected="0">
            <x v="0"/>
          </reference>
          <reference field="1" count="1" selected="0">
            <x v="24"/>
          </reference>
        </references>
      </pivotArea>
    </chartFormat>
    <chartFormat chart="15" format="25" series="1">
      <pivotArea type="data" outline="0" fieldPosition="0">
        <references count="2">
          <reference field="4294967294" count="1" selected="0">
            <x v="0"/>
          </reference>
          <reference field="1" count="1" selected="0">
            <x v="25"/>
          </reference>
        </references>
      </pivotArea>
    </chartFormat>
    <chartFormat chart="19" format="52" series="1">
      <pivotArea type="data" outline="0" fieldPosition="0">
        <references count="2">
          <reference field="4294967294" count="1" selected="0">
            <x v="0"/>
          </reference>
          <reference field="1" count="1" selected="0">
            <x v="0"/>
          </reference>
        </references>
      </pivotArea>
    </chartFormat>
    <chartFormat chart="19" format="53" series="1">
      <pivotArea type="data" outline="0" fieldPosition="0">
        <references count="2">
          <reference field="4294967294" count="1" selected="0">
            <x v="0"/>
          </reference>
          <reference field="1" count="1" selected="0">
            <x v="1"/>
          </reference>
        </references>
      </pivotArea>
    </chartFormat>
    <chartFormat chart="19" format="54" series="1">
      <pivotArea type="data" outline="0" fieldPosition="0">
        <references count="2">
          <reference field="4294967294" count="1" selected="0">
            <x v="0"/>
          </reference>
          <reference field="1" count="1" selected="0">
            <x v="2"/>
          </reference>
        </references>
      </pivotArea>
    </chartFormat>
    <chartFormat chart="19" format="55" series="1">
      <pivotArea type="data" outline="0" fieldPosition="0">
        <references count="2">
          <reference field="4294967294" count="1" selected="0">
            <x v="0"/>
          </reference>
          <reference field="1" count="1" selected="0">
            <x v="3"/>
          </reference>
        </references>
      </pivotArea>
    </chartFormat>
    <chartFormat chart="19" format="56" series="1">
      <pivotArea type="data" outline="0" fieldPosition="0">
        <references count="2">
          <reference field="4294967294" count="1" selected="0">
            <x v="0"/>
          </reference>
          <reference field="1" count="1" selected="0">
            <x v="4"/>
          </reference>
        </references>
      </pivotArea>
    </chartFormat>
    <chartFormat chart="19" format="57" series="1">
      <pivotArea type="data" outline="0" fieldPosition="0">
        <references count="2">
          <reference field="4294967294" count="1" selected="0">
            <x v="0"/>
          </reference>
          <reference field="1" count="1" selected="0">
            <x v="5"/>
          </reference>
        </references>
      </pivotArea>
    </chartFormat>
    <chartFormat chart="19" format="58" series="1">
      <pivotArea type="data" outline="0" fieldPosition="0">
        <references count="2">
          <reference field="4294967294" count="1" selected="0">
            <x v="0"/>
          </reference>
          <reference field="1" count="1" selected="0">
            <x v="6"/>
          </reference>
        </references>
      </pivotArea>
    </chartFormat>
    <chartFormat chart="19" format="59" series="1">
      <pivotArea type="data" outline="0" fieldPosition="0">
        <references count="2">
          <reference field="4294967294" count="1" selected="0">
            <x v="0"/>
          </reference>
          <reference field="1" count="1" selected="0">
            <x v="7"/>
          </reference>
        </references>
      </pivotArea>
    </chartFormat>
    <chartFormat chart="19" format="60" series="1">
      <pivotArea type="data" outline="0" fieldPosition="0">
        <references count="2">
          <reference field="4294967294" count="1" selected="0">
            <x v="0"/>
          </reference>
          <reference field="1" count="1" selected="0">
            <x v="8"/>
          </reference>
        </references>
      </pivotArea>
    </chartFormat>
    <chartFormat chart="19" format="61" series="1">
      <pivotArea type="data" outline="0" fieldPosition="0">
        <references count="2">
          <reference field="4294967294" count="1" selected="0">
            <x v="0"/>
          </reference>
          <reference field="1" count="1" selected="0">
            <x v="9"/>
          </reference>
        </references>
      </pivotArea>
    </chartFormat>
    <chartFormat chart="19" format="62" series="1">
      <pivotArea type="data" outline="0" fieldPosition="0">
        <references count="2">
          <reference field="4294967294" count="1" selected="0">
            <x v="0"/>
          </reference>
          <reference field="1" count="1" selected="0">
            <x v="10"/>
          </reference>
        </references>
      </pivotArea>
    </chartFormat>
    <chartFormat chart="19" format="63" series="1">
      <pivotArea type="data" outline="0" fieldPosition="0">
        <references count="2">
          <reference field="4294967294" count="1" selected="0">
            <x v="0"/>
          </reference>
          <reference field="1" count="1" selected="0">
            <x v="11"/>
          </reference>
        </references>
      </pivotArea>
    </chartFormat>
    <chartFormat chart="19" format="64" series="1">
      <pivotArea type="data" outline="0" fieldPosition="0">
        <references count="2">
          <reference field="4294967294" count="1" selected="0">
            <x v="0"/>
          </reference>
          <reference field="1" count="1" selected="0">
            <x v="12"/>
          </reference>
        </references>
      </pivotArea>
    </chartFormat>
    <chartFormat chart="19" format="65" series="1">
      <pivotArea type="data" outline="0" fieldPosition="0">
        <references count="2">
          <reference field="4294967294" count="1" selected="0">
            <x v="0"/>
          </reference>
          <reference field="1" count="1" selected="0">
            <x v="13"/>
          </reference>
        </references>
      </pivotArea>
    </chartFormat>
    <chartFormat chart="19" format="66" series="1">
      <pivotArea type="data" outline="0" fieldPosition="0">
        <references count="2">
          <reference field="4294967294" count="1" selected="0">
            <x v="0"/>
          </reference>
          <reference field="1" count="1" selected="0">
            <x v="14"/>
          </reference>
        </references>
      </pivotArea>
    </chartFormat>
    <chartFormat chart="19" format="67" series="1">
      <pivotArea type="data" outline="0" fieldPosition="0">
        <references count="2">
          <reference field="4294967294" count="1" selected="0">
            <x v="0"/>
          </reference>
          <reference field="1" count="1" selected="0">
            <x v="15"/>
          </reference>
        </references>
      </pivotArea>
    </chartFormat>
    <chartFormat chart="19" format="68" series="1">
      <pivotArea type="data" outline="0" fieldPosition="0">
        <references count="2">
          <reference field="4294967294" count="1" selected="0">
            <x v="0"/>
          </reference>
          <reference field="1" count="1" selected="0">
            <x v="16"/>
          </reference>
        </references>
      </pivotArea>
    </chartFormat>
    <chartFormat chart="19" format="69" series="1">
      <pivotArea type="data" outline="0" fieldPosition="0">
        <references count="2">
          <reference field="4294967294" count="1" selected="0">
            <x v="0"/>
          </reference>
          <reference field="1" count="1" selected="0">
            <x v="17"/>
          </reference>
        </references>
      </pivotArea>
    </chartFormat>
    <chartFormat chart="19" format="70" series="1">
      <pivotArea type="data" outline="0" fieldPosition="0">
        <references count="2">
          <reference field="4294967294" count="1" selected="0">
            <x v="0"/>
          </reference>
          <reference field="1" count="1" selected="0">
            <x v="18"/>
          </reference>
        </references>
      </pivotArea>
    </chartFormat>
    <chartFormat chart="19" format="71" series="1">
      <pivotArea type="data" outline="0" fieldPosition="0">
        <references count="2">
          <reference field="4294967294" count="1" selected="0">
            <x v="0"/>
          </reference>
          <reference field="1" count="1" selected="0">
            <x v="19"/>
          </reference>
        </references>
      </pivotArea>
    </chartFormat>
    <chartFormat chart="19" format="72" series="1">
      <pivotArea type="data" outline="0" fieldPosition="0">
        <references count="2">
          <reference field="4294967294" count="1" selected="0">
            <x v="0"/>
          </reference>
          <reference field="1" count="1" selected="0">
            <x v="20"/>
          </reference>
        </references>
      </pivotArea>
    </chartFormat>
    <chartFormat chart="19" format="73" series="1">
      <pivotArea type="data" outline="0" fieldPosition="0">
        <references count="2">
          <reference field="4294967294" count="1" selected="0">
            <x v="0"/>
          </reference>
          <reference field="1" count="1" selected="0">
            <x v="21"/>
          </reference>
        </references>
      </pivotArea>
    </chartFormat>
    <chartFormat chart="19" format="74" series="1">
      <pivotArea type="data" outline="0" fieldPosition="0">
        <references count="2">
          <reference field="4294967294" count="1" selected="0">
            <x v="0"/>
          </reference>
          <reference field="1" count="1" selected="0">
            <x v="22"/>
          </reference>
        </references>
      </pivotArea>
    </chartFormat>
    <chartFormat chart="19" format="75" series="1">
      <pivotArea type="data" outline="0" fieldPosition="0">
        <references count="2">
          <reference field="4294967294" count="1" selected="0">
            <x v="0"/>
          </reference>
          <reference field="1" count="1" selected="0">
            <x v="23"/>
          </reference>
        </references>
      </pivotArea>
    </chartFormat>
    <chartFormat chart="19" format="76" series="1">
      <pivotArea type="data" outline="0" fieldPosition="0">
        <references count="2">
          <reference field="4294967294" count="1" selected="0">
            <x v="0"/>
          </reference>
          <reference field="1" count="1" selected="0">
            <x v="24"/>
          </reference>
        </references>
      </pivotArea>
    </chartFormat>
    <chartFormat chart="19" format="77" series="1">
      <pivotArea type="data" outline="0" fieldPosition="0">
        <references count="2">
          <reference field="4294967294" count="1" selected="0">
            <x v="0"/>
          </reference>
          <reference field="1" count="1" selected="0">
            <x v="25"/>
          </reference>
        </references>
      </pivotArea>
    </chartFormat>
  </chartFormats>
  <pivotHierarchies count="37">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QI She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C2B469-7238-4E49-B1C8-04231A5A21E2}" name="PivotTable7" cacheId="11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City">
  <location ref="H16:I18"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 Total Days" fld="1" baseField="0" baseItem="0"/>
  </dataFields>
  <chartFormats count="1">
    <chartFormat chart="3" format="0" series="1">
      <pivotArea type="data" outline="0" fieldPosition="0">
        <references count="1">
          <reference field="4294967294" count="1" selected="0">
            <x v="0"/>
          </reference>
        </references>
      </pivotArea>
    </chartFormat>
  </chartFormats>
  <pivotHierarchies count="37">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Total 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5">
      <autoFilter ref="A1">
        <filterColumn colId="0">
          <top10 val="1" filterVal="1"/>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QI She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D8EA8A-BFB8-4AE2-A02B-77C60BC298F7}" name="Polluted_City" cacheId="11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City">
  <location ref="E2:F1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i>
    <i>
      <x v="7"/>
    </i>
    <i>
      <x v="8"/>
    </i>
    <i>
      <x v="3"/>
    </i>
    <i>
      <x v="9"/>
    </i>
    <i>
      <x v="6"/>
    </i>
    <i>
      <x v="5"/>
    </i>
    <i>
      <x v="1"/>
    </i>
    <i>
      <x v="4"/>
    </i>
    <i t="grand">
      <x/>
    </i>
  </rowItems>
  <colItems count="1">
    <i/>
  </colItems>
  <dataFields count="1">
    <dataField name="% Total Days" fld="1" showDataAs="percentOfCol" baseField="0" baseItem="0" numFmtId="1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7">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Total 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QI She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7C842B-A672-4B94-82C1-CC2107E23416}" name="AQI_Bucket" cacheId="10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AQI_Bucket">
  <location ref="E3:F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Total Days" fld="1" showDataAs="percentOfCol" baseField="0" baseItem="0" numFmtId="10"/>
  </dataFields>
  <chartFormats count="5">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0" count="1" selected="0">
            <x v="0"/>
          </reference>
        </references>
      </pivotArea>
    </chartFormat>
    <chartFormat chart="2" format="18">
      <pivotArea type="data" outline="0" fieldPosition="0">
        <references count="2">
          <reference field="4294967294" count="1" selected="0">
            <x v="0"/>
          </reference>
          <reference field="0" count="1" selected="0">
            <x v="1"/>
          </reference>
        </references>
      </pivotArea>
    </chartFormat>
    <chartFormat chart="2" format="19">
      <pivotArea type="data" outline="0" fieldPosition="0">
        <references count="2">
          <reference field="4294967294" count="1" selected="0">
            <x v="0"/>
          </reference>
          <reference field="0" count="1" selected="0">
            <x v="2"/>
          </reference>
        </references>
      </pivotArea>
    </chartFormat>
    <chartFormat chart="1" format="12" series="1">
      <pivotArea type="data" outline="0" fieldPosition="0">
        <references count="1">
          <reference field="4294967294" count="1" selected="0">
            <x v="0"/>
          </reference>
        </references>
      </pivotArea>
    </chartFormat>
  </chartFormats>
  <pivotHierarchies count="37">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QI Sheet.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838EF5-7C68-4D22-A222-6465E984BECF}" name="Monthwise" cacheId="11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Month">
  <location ref="E3:G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Avg PM2_5" fld="2" subtotal="average" showDataAs="percentOfCol" baseField="0" baseItem="0" numFmtId="10"/>
    <dataField name="Avg PM10" fld="1" subtotal="average" showDataAs="percentOfCol" baseField="0" baseItem="0" numFmtId="1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37">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PM10"/>
    <pivotHierarchy dragToData="1" caption="Avg PM2_5"/>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QI Sheet.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DD6A41-43D8-45DD-9DD1-1B496A96B3BD}" name="Pollutant_Severity" cacheId="11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3:F1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5"/>
    </i>
    <i>
      <x v="2"/>
    </i>
    <i>
      <x v="7"/>
    </i>
    <i>
      <x v="8"/>
    </i>
    <i>
      <x v="3"/>
    </i>
    <i>
      <x v="4"/>
    </i>
    <i>
      <x v="1"/>
    </i>
    <i>
      <x v="9"/>
    </i>
    <i>
      <x/>
    </i>
    <i t="grand">
      <x/>
    </i>
  </rowItems>
  <colItems count="1">
    <i/>
  </colItems>
  <dataFields count="1">
    <dataField name="Sum of Frequency" fld="1" showDataAs="percentOfCol" baseField="0" baseItem="0" numFmtId="1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QI Sheet.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77F4AD-0CCA-4E5D-B941-C9FE652AC35D}" name="Station_Vs_AQI" cacheId="11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State">
  <location ref="F3:H25" firstHeaderRow="0" firstDataRow="1" firstDataCol="1"/>
  <pivotFields count="4">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Avg AQI" fld="2" subtotal="average" baseField="0" baseItem="0"/>
    <dataField name="Total Stations" fld="1" baseField="0" baseItem="0"/>
  </dataFields>
  <chartFormats count="4">
    <chartFormat chart="3" format="0" series="1">
      <pivotArea type="data" outline="0" fieldPosition="0">
        <references count="1">
          <reference field="4294967294" count="1" selected="0">
            <x v="1"/>
          </reference>
        </references>
      </pivotArea>
    </chartFormat>
    <chartFormat chart="3"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7">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Stations"/>
    <pivotHierarchy dragToData="1"/>
    <pivotHierarchy dragToData="1"/>
    <pivotHierarchy dragToData="1" caption="Avg AQI"/>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QI Sheet.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9D0D3B8-2681-4308-98D7-6888B705EECA}" sourceName="[Table1].[City]">
  <pivotTables>
    <pivotTable tabId="1" name="City_AQI_Trend"/>
    <pivotTable tabId="4" name="AQI_Bucket"/>
    <pivotTable tabId="1" name="PivotTable6"/>
    <pivotTable tabId="6" name="Monthwise"/>
    <pivotTable tabId="5" name="Pollutant_Severity"/>
    <pivotTable tabId="3" name="PivotTable7"/>
    <pivotTable tabId="3" name="Polluted_City"/>
    <pivotTable tabId="7" name="Station_Vs_AQI"/>
  </pivotTables>
  <data>
    <olap pivotCacheId="1337441522">
      <levels count="2">
        <level uniqueName="[Table1].[City].[(All)]" sourceCaption="(All)" count="0"/>
        <level uniqueName="[Table1].[City].[City]" sourceCaption="City" count="26">
          <ranges>
            <range startItem="0">
              <i n="[Table1].[City].&amp;[Ahmedabad]" c="Ahmedabad"/>
              <i n="[Table1].[City].&amp;[Aizawl]" c="Aizawl"/>
              <i n="[Table1].[City].&amp;[Amaravati]" c="Amaravati"/>
              <i n="[Table1].[City].&amp;[Amritsar]" c="Amritsar"/>
              <i n="[Table1].[City].&amp;[Bengaluru]" c="Bengaluru"/>
              <i n="[Table1].[City].&amp;[Bhopal]" c="Bhopal"/>
              <i n="[Table1].[City].&amp;[Brajrajnagar]" c="Brajrajnagar"/>
              <i n="[Table1].[City].&amp;[Chandigarh]" c="Chandigarh"/>
              <i n="[Table1].[City].&amp;[Chennai]" c="Chennai"/>
              <i n="[Table1].[City].&amp;[Coimbatore]" c="Coimbatore"/>
              <i n="[Table1].[City].&amp;[Delhi]" c="Delhi"/>
              <i n="[Table1].[City].&amp;[Ernakulam]" c="Ernakulam"/>
              <i n="[Table1].[City].&amp;[Gurugram]" c="Gurugram"/>
              <i n="[Table1].[City].&amp;[Guwahati]" c="Guwahati"/>
              <i n="[Table1].[City].&amp;[Hyderabad]" c="Hyderabad"/>
              <i n="[Table1].[City].&amp;[Jaipur]" c="Jaipur"/>
              <i n="[Table1].[City].&amp;[Jorapokhar]" c="Jorapokhar"/>
              <i n="[Table1].[City].&amp;[Kochi]" c="Kochi"/>
              <i n="[Table1].[City].&amp;[Kolkata]" c="Kolkata"/>
              <i n="[Table1].[City].&amp;[Lucknow]" c="Lucknow"/>
              <i n="[Table1].[City].&amp;[Mumbai]" c="Mumbai"/>
              <i n="[Table1].[City].&amp;[Patna]" c="Patna"/>
              <i n="[Table1].[City].&amp;[Shillong]" c="Shillong"/>
              <i n="[Table1].[City].&amp;[Talcher]" c="Talcher"/>
              <i n="[Table1].[City].&amp;[Thiruvananthapuram]" c="Thiruvananthapuram"/>
              <i n="[Table1].[City].&amp;[Visakhapatnam]" c="Visakhapatnam"/>
            </range>
          </ranges>
        </level>
      </levels>
      <selections count="1">
        <selection n="[Table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A483429-1746-4ADF-992F-656E02E5C052}" sourceName="[Table1].[Year]">
  <pivotTables>
    <pivotTable tabId="1" name="City_AQI_Trend"/>
    <pivotTable tabId="4" name="AQI_Bucket"/>
    <pivotTable tabId="1" name="PivotTable6"/>
    <pivotTable tabId="6" name="Monthwise"/>
    <pivotTable tabId="5" name="Pollutant_Severity"/>
    <pivotTable tabId="3" name="PivotTable7"/>
    <pivotTable tabId="3" name="Polluted_City"/>
    <pivotTable tabId="7" name="Station_Vs_AQI"/>
  </pivotTables>
  <data>
    <olap pivotCacheId="1337441522">
      <levels count="2">
        <level uniqueName="[Table1].[Year].[(All)]" sourceCaption="(All)" count="0"/>
        <level uniqueName="[Table1].[Year].[Year]" sourceCaption="Year" count="6">
          <ranges>
            <range startItem="0">
              <i n="[Table1].[Year].&amp;[2015]" c="2015"/>
              <i n="[Table1].[Year].&amp;[2016]" c="2016"/>
              <i n="[Table1].[Year].&amp;[2017]" c="2017"/>
              <i n="[Table1].[Year].&amp;[2018]" c="2018"/>
              <i n="[Table1].[Year].&amp;[2019]" c="2019"/>
              <i n="[Table1].[Year].&amp;[2020]" c="2020"/>
            </range>
          </ranges>
        </level>
      </levels>
      <selections count="1">
        <selection n="[Table1].[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QI_Bucket" xr10:uid="{06D77EFF-94B7-43C5-930A-BA8F3F1B3571}" sourceName="[Table3].[AQI_Bucket]">
  <pivotTables>
    <pivotTable tabId="4" name="AQI_Bucket"/>
    <pivotTable tabId="1" name="City_AQI_Trend"/>
    <pivotTable tabId="1" name="PivotTable6"/>
    <pivotTable tabId="6" name="Monthwise"/>
    <pivotTable tabId="5" name="Pollutant_Severity"/>
    <pivotTable tabId="3" name="PivotTable7"/>
    <pivotTable tabId="3" name="Polluted_City"/>
    <pivotTable tabId="7" name="Station_Vs_AQI"/>
  </pivotTables>
  <data>
    <olap pivotCacheId="1337441522">
      <levels count="2">
        <level uniqueName="[Table3].[AQI_Bucket].[(All)]" sourceCaption="(All)" count="0"/>
        <level uniqueName="[Table3].[AQI_Bucket].[AQI_Bucket]" sourceCaption="AQI_Bucket" count="3">
          <ranges>
            <range startItem="0">
              <i n="[Table3].[AQI_Bucket].&amp;[Poor]" c="Poor"/>
              <i n="[Table3].[AQI_Bucket].&amp;[Severe]" c="Severe"/>
              <i n="[Table3].[AQI_Bucket].&amp;[Very Poor]" c="Very Poor"/>
            </range>
          </ranges>
        </level>
      </levels>
      <selections count="1">
        <selection n="[Table3].[AQI_Bucke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lutant" xr10:uid="{6EF5812D-C0AB-4F65-B443-2AF97DFDE7F0}" sourceName="[Table5].[Pollutant]">
  <pivotTables>
    <pivotTable tabId="5" name="Pollutant_Severity"/>
    <pivotTable tabId="4" name="AQI_Bucket"/>
    <pivotTable tabId="1" name="City_AQI_Trend"/>
    <pivotTable tabId="1" name="PivotTable6"/>
    <pivotTable tabId="6" name="Monthwise"/>
    <pivotTable tabId="3" name="PivotTable7"/>
    <pivotTable tabId="3" name="Polluted_City"/>
    <pivotTable tabId="7" name="Station_Vs_AQI"/>
  </pivotTables>
  <data>
    <olap pivotCacheId="1337441522">
      <levels count="2">
        <level uniqueName="[Table5].[Pollutant].[(All)]" sourceCaption="(All)" count="0"/>
        <level uniqueName="[Table5].[Pollutant].[Pollutant]" sourceCaption="Pollutant" count="10">
          <ranges>
            <range startItem="0">
              <i n="[Table5].[Pollutant].&amp;[Benzene]" c="Benzene"/>
              <i n="[Table5].[Pollutant].&amp;[NO]" c="NO"/>
              <i n="[Table5].[Pollutant].&amp;[NO2]" c="NO2"/>
              <i n="[Table5].[Pollutant].&amp;[NOx]" c="NOx"/>
              <i n="[Table5].[Pollutant].&amp;[O3]" c="O3"/>
              <i n="[Table5].[Pollutant].&amp;[PM10]" c="PM10"/>
              <i n="[Table5].[Pollutant].&amp;[PM2.5]" c="PM2.5"/>
              <i n="[Table5].[Pollutant].&amp;[SO2]" c="SO2"/>
              <i n="[Table5].[Pollutant].&amp;[Toluene]" c="Toluene"/>
              <i n="[Table5].[Pollutant].&amp;[Xylene]" c="Xylene"/>
            </range>
          </ranges>
        </level>
      </levels>
      <selections count="1">
        <selection n="[Table5].[Polluta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16588C-80D0-43C7-84A1-48CDA70FAA4D}" sourceName="[Table4].[Month]">
  <pivotTables>
    <pivotTable tabId="6" name="Monthwise"/>
    <pivotTable tabId="4" name="AQI_Bucket"/>
    <pivotTable tabId="1" name="City_AQI_Trend"/>
    <pivotTable tabId="1" name="PivotTable6"/>
    <pivotTable tabId="5" name="Pollutant_Severity"/>
    <pivotTable tabId="3" name="PivotTable7"/>
    <pivotTable tabId="3" name="Polluted_City"/>
    <pivotTable tabId="7" name="Station_Vs_AQI"/>
  </pivotTables>
  <data>
    <olap pivotCacheId="1337441522">
      <levels count="2">
        <level uniqueName="[Table4].[Month].[(All)]" sourceCaption="(All)" count="0"/>
        <level uniqueName="[Table4].[Month].[Month]" sourceCaption="Month" count="12">
          <ranges>
            <range startItem="0">
              <i n="[Table4].[Month].&amp;[April]" c="April"/>
              <i n="[Table4].[Month].&amp;[August]" c="August"/>
              <i n="[Table4].[Month].&amp;[December]" c="December"/>
              <i n="[Table4].[Month].&amp;[February]" c="February"/>
              <i n="[Table4].[Month].&amp;[January]" c="January"/>
              <i n="[Table4].[Month].&amp;[July]" c="July"/>
              <i n="[Table4].[Month].&amp;[June]" c="June"/>
              <i n="[Table4].[Month].&amp;[March]" c="March"/>
              <i n="[Table4].[Month].&amp;[May]" c="May"/>
              <i n="[Table4].[Month].&amp;[November]" c="November"/>
              <i n="[Table4].[Month].&amp;[October]" c="October"/>
              <i n="[Table4].[Month].&amp;[September]" c="September"/>
            </range>
          </ranges>
        </level>
      </levels>
      <selections count="1">
        <selection n="[Table4].[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63BFBAF-0FC8-4494-8C5E-73E2876833E4}" sourceName="[Table6].[State]">
  <pivotTables>
    <pivotTable tabId="7" name="Station_Vs_AQI"/>
    <pivotTable tabId="4" name="AQI_Bucket"/>
    <pivotTable tabId="1" name="City_AQI_Trend"/>
    <pivotTable tabId="1" name="PivotTable6"/>
    <pivotTable tabId="6" name="Monthwise"/>
    <pivotTable tabId="5" name="Pollutant_Severity"/>
    <pivotTable tabId="3" name="PivotTable7"/>
    <pivotTable tabId="3" name="Polluted_City"/>
  </pivotTables>
  <data>
    <olap pivotCacheId="1337441522">
      <levels count="2">
        <level uniqueName="[Table6].[State].[(All)]" sourceCaption="(All)" count="0"/>
        <level uniqueName="[Table6].[State].[State]" sourceCaption="State" count="21">
          <ranges>
            <range startItem="0">
              <i n="[Table6].[State].&amp;[Andhra Pradesh]" c="Andhra Pradesh"/>
              <i n="[Table6].[State].&amp;[Assam]" c="Assam"/>
              <i n="[Table6].[State].&amp;[Bihar]" c="Bihar"/>
              <i n="[Table6].[State].&amp;[Chandigarh]" c="Chandigarh"/>
              <i n="[Table6].[State].&amp;[Delhi]" c="Delhi"/>
              <i n="[Table6].[State].&amp;[Gujarat]" c="Gujarat"/>
              <i n="[Table6].[State].&amp;[Haryana]" c="Haryana"/>
              <i n="[Table6].[State].&amp;[Jharkhand]" c="Jharkhand"/>
              <i n="[Table6].[State].&amp;[Karnataka]" c="Karnataka"/>
              <i n="[Table6].[State].&amp;[Kerala]" c="Kerala"/>
              <i n="[Table6].[State].&amp;[Madhya Pradesh]" c="Madhya Pradesh"/>
              <i n="[Table6].[State].&amp;[Maharashtra]" c="Maharashtra"/>
              <i n="[Table6].[State].&amp;[Meghalaya]" c="Meghalaya"/>
              <i n="[Table6].[State].&amp;[Mizoram]" c="Mizoram"/>
              <i n="[Table6].[State].&amp;[Odisha]" c="Odisha"/>
              <i n="[Table6].[State].&amp;[Punjab]" c="Punjab"/>
              <i n="[Table6].[State].&amp;[Rajasthan]" c="Rajasthan"/>
              <i n="[Table6].[State].&amp;[Tamil Nadu]" c="Tamil Nadu"/>
              <i n="[Table6].[State].&amp;[Telangana]" c="Telangana"/>
              <i n="[Table6].[State].&amp;[Uttar Pradesh]" c="Uttar Pradesh"/>
              <i n="[Table6].[State].&amp;[West Bengal]" c="West Bengal"/>
            </range>
          </ranges>
        </level>
      </levels>
      <selections count="1">
        <selection n="[Table6].[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B8FA5DA-503E-4EEF-97B3-CE90E188CBCA}" cache="Slicer_City" caption="City" startItem="10" level="1" style="SlicerStyleLight1" rowHeight="241300"/>
  <slicer name="Year" xr10:uid="{FF5B81B7-11A9-430D-AE4E-95D8078FAAEE}" cache="Slicer_Year" caption="Year" level="1" style="SlicerStyleOther2" rowHeight="241300"/>
  <slicer name="AQI_Bucket" xr10:uid="{7DA73263-5F62-477C-9E6D-6FD3356A1316}" cache="Slicer_AQI_Bucket" caption="AQI_Bucket" level="1" style="SlicerStyleLight1" rowHeight="241300"/>
  <slicer name="Pollutant" xr10:uid="{94AAEFD5-04CC-4F4E-ACCE-6A205D786D82}" cache="Slicer_Pollutant" caption="Pollutant" level="1" style="SlicerStyleLight1" rowHeight="241300"/>
  <slicer name="Month" xr10:uid="{8F966454-BFA1-42FC-AC8C-298A5BC49B7F}" cache="Slicer_Month" caption="Month" startItem="1" level="1" style="SlicerStyleOther2" rowHeight="241300"/>
  <slicer name="State" xr10:uid="{645CA3BC-82BA-4C44-847F-CE622E307EEF}" cache="Slicer_State" caption="State" startItem="5" level="1" style="SlicerStyleLight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267A23-A5EF-45B3-9895-084F8B772C15}" name="Table1" displayName="Table1" ref="A1:C99" totalsRowShown="0">
  <tableColumns count="3">
    <tableColumn id="1" xr3:uid="{5062862E-FA4E-4F9C-A5BF-EC609B85C1D5}" name="City"/>
    <tableColumn id="2" xr3:uid="{CD1E1761-A415-4F5E-90AA-F98098D1A680}" name="Year"/>
    <tableColumn id="3" xr3:uid="{2CBEDEFE-D7F8-4371-A219-C44C2F54B7AE}" name="Avg_AQ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246088-8207-47FD-8495-86EB48BDFAD8}" name="Table2" displayName="Table2" ref="A1:C56" totalsRowShown="0">
  <tableColumns count="3">
    <tableColumn id="1" xr3:uid="{2902661A-7CE2-4726-B70D-FCD17DEAAD80}" name="City"/>
    <tableColumn id="2" xr3:uid="{E6432F8B-8886-4BAC-891A-1A24D7C2DBC3}" name="AQI_Bucket"/>
    <tableColumn id="3" xr3:uid="{792E4AE0-3C8D-44AB-9DD0-23CBAAA29996}" name="Total_Day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249C2B-AFE3-4995-9129-B59DFDFFB598}" name="Table3" displayName="Table3" ref="A1:C56" totalsRowShown="0">
  <autoFilter ref="A1:C56" xr:uid="{EF249C2B-AFE3-4995-9129-B59DFDFFB598}"/>
  <tableColumns count="3">
    <tableColumn id="1" xr3:uid="{84002B6C-B9B7-4286-B1F8-70B05FB6E427}" name="City"/>
    <tableColumn id="2" xr3:uid="{E2CD6771-060E-4016-A160-557A60B07787}" name="AQI_Bucket"/>
    <tableColumn id="3" xr3:uid="{C2C74A00-8010-4471-8D62-12940C2CD750}" name="Total_Day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78BD34-7DA9-4B58-A43B-597832E1A379}" name="Table4" displayName="Table4" ref="A1:C13" totalsRowShown="0">
  <autoFilter ref="A1:C13" xr:uid="{9078BD34-7DA9-4B58-A43B-597832E1A379}"/>
  <tableColumns count="3">
    <tableColumn id="1" xr3:uid="{E731DA60-A6F3-4D8F-A49B-CB0D2A0DDCF2}" name="Month"/>
    <tableColumn id="2" xr3:uid="{BD74E1CE-AD4F-43EE-B2D4-14CF5243D361}" name="Avg_PM2_5"/>
    <tableColumn id="3" xr3:uid="{84B2BF6F-F07D-406F-BEA8-5E77C0B02B6D}" name="Avg_PM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147C65-2C7A-4E84-AEE0-349844998E24}" name="Table5" displayName="Table5" ref="A1:B11" totalsRowShown="0">
  <tableColumns count="2">
    <tableColumn id="1" xr3:uid="{17F3B063-F4BE-43B8-BB2B-C534301C6DF0}" name="Pollutant"/>
    <tableColumn id="2" xr3:uid="{FC6A7C61-E8E6-46B3-9709-C71E53F8CE6F}" name="Frequenc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BD7F20-47BB-4B33-8483-8D5F67AC2858}" name="Table6" displayName="Table6" ref="A1:C22" totalsRowShown="0">
  <autoFilter ref="A1:C22" xr:uid="{B9BD7F20-47BB-4B33-8483-8D5F67AC2858}"/>
  <tableColumns count="3">
    <tableColumn id="1" xr3:uid="{643D741A-CB0A-46EB-BB60-C73316C8DB19}" name="State"/>
    <tableColumn id="2" xr3:uid="{A40293D6-FC16-408F-9D49-C12CFA7785C5}" name="Cnt_Stations"/>
    <tableColumn id="3" xr3:uid="{C810907C-9D28-417E-A4D7-0F80B03E83DF}" name="Avg_AQI"/>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C982-AD1F-4EAF-ABEA-1F2D6CCB21EB}">
  <dimension ref="A1:AH99"/>
  <sheetViews>
    <sheetView topLeftCell="P3" workbookViewId="0">
      <selection activeCell="AG1" sqref="AG1"/>
    </sheetView>
  </sheetViews>
  <sheetFormatPr defaultRowHeight="15" x14ac:dyDescent="0.25"/>
  <cols>
    <col min="1" max="1" width="19.7109375" bestFit="1" customWidth="1"/>
    <col min="3" max="3" width="10.7109375" customWidth="1"/>
    <col min="5" max="5" width="18.85546875" bestFit="1" customWidth="1"/>
    <col min="6" max="6" width="16.28515625" bestFit="1" customWidth="1"/>
    <col min="7" max="7" width="15.28515625" bestFit="1" customWidth="1"/>
    <col min="8" max="8" width="16.28515625" bestFit="1" customWidth="1"/>
    <col min="9" max="9" width="6.85546875" bestFit="1" customWidth="1"/>
    <col min="10" max="10" width="10" bestFit="1" customWidth="1"/>
    <col min="11" max="11" width="8.5703125" bestFit="1" customWidth="1"/>
    <col min="12" max="12" width="10" bestFit="1" customWidth="1"/>
    <col min="13" max="13" width="7.140625" bestFit="1" customWidth="1"/>
    <col min="14" max="14" width="11.5703125" bestFit="1" customWidth="1"/>
    <col min="15" max="15" width="11" bestFit="1" customWidth="1"/>
    <col min="16" max="16" width="8.28515625" bestFit="1" customWidth="1"/>
    <col min="17" max="17" width="11.42578125" bestFit="1" customWidth="1"/>
    <col min="18" max="18" width="5.7109375" bestFit="1" customWidth="1"/>
    <col min="19" max="19" width="10.28515625" bestFit="1" customWidth="1"/>
    <col min="20" max="20" width="9.85546875" bestFit="1" customWidth="1"/>
    <col min="21" max="21" width="9.5703125" bestFit="1" customWidth="1"/>
    <col min="22" max="22" width="10.5703125" bestFit="1" customWidth="1"/>
    <col min="23" max="23" width="6.28515625" bestFit="1" customWidth="1"/>
    <col min="24" max="24" width="10.7109375" bestFit="1" customWidth="1"/>
    <col min="25" max="25" width="5.85546875" bestFit="1" customWidth="1"/>
    <col min="26" max="26" width="7.5703125" bestFit="1" customWidth="1"/>
    <col min="27" max="27" width="8.7109375" bestFit="1" customWidth="1"/>
    <col min="28" max="28" width="8.42578125" bestFit="1" customWidth="1"/>
    <col min="29" max="29" width="6" bestFit="1" customWidth="1"/>
    <col min="30" max="30" width="8.140625" bestFit="1" customWidth="1"/>
    <col min="31" max="31" width="7.42578125" bestFit="1" customWidth="1"/>
    <col min="32" max="32" width="19.7109375" bestFit="1" customWidth="1"/>
    <col min="33" max="33" width="14.7109375" bestFit="1" customWidth="1"/>
    <col min="34" max="34" width="11.28515625" bestFit="1" customWidth="1"/>
  </cols>
  <sheetData>
    <row r="1" spans="1:34" x14ac:dyDescent="0.25">
      <c r="A1" t="s">
        <v>0</v>
      </c>
      <c r="B1" t="s">
        <v>1</v>
      </c>
      <c r="C1" t="s">
        <v>2</v>
      </c>
    </row>
    <row r="2" spans="1:34" x14ac:dyDescent="0.25">
      <c r="A2" t="s">
        <v>3</v>
      </c>
      <c r="B2">
        <v>2015</v>
      </c>
      <c r="C2">
        <v>112.7824</v>
      </c>
      <c r="E2" t="s">
        <v>82</v>
      </c>
      <c r="G2" s="1" t="s">
        <v>90</v>
      </c>
      <c r="H2" s="1" t="s">
        <v>86</v>
      </c>
    </row>
    <row r="3" spans="1:34" x14ac:dyDescent="0.25">
      <c r="A3" t="s">
        <v>4</v>
      </c>
      <c r="B3">
        <v>2015</v>
      </c>
      <c r="C3">
        <v>88.208200000000005</v>
      </c>
      <c r="E3" s="5">
        <v>149.59290714285714</v>
      </c>
      <c r="G3" s="1" t="s">
        <v>1</v>
      </c>
      <c r="H3" t="s">
        <v>6</v>
      </c>
      <c r="I3" t="s">
        <v>26</v>
      </c>
      <c r="J3" t="s">
        <v>15</v>
      </c>
      <c r="K3" t="s">
        <v>13</v>
      </c>
      <c r="L3" t="s">
        <v>4</v>
      </c>
      <c r="M3" t="s">
        <v>25</v>
      </c>
      <c r="N3" t="s">
        <v>16</v>
      </c>
      <c r="O3" t="s">
        <v>22</v>
      </c>
      <c r="P3" t="s">
        <v>3</v>
      </c>
      <c r="Q3" t="s">
        <v>24</v>
      </c>
      <c r="R3" t="s">
        <v>8</v>
      </c>
      <c r="S3" t="s">
        <v>27</v>
      </c>
      <c r="T3" t="s">
        <v>10</v>
      </c>
      <c r="U3" t="s">
        <v>21</v>
      </c>
      <c r="V3" t="s">
        <v>9</v>
      </c>
      <c r="W3" t="s">
        <v>14</v>
      </c>
      <c r="X3" t="s">
        <v>17</v>
      </c>
      <c r="Y3" t="s">
        <v>28</v>
      </c>
      <c r="Z3" t="s">
        <v>20</v>
      </c>
      <c r="AA3" t="s">
        <v>7</v>
      </c>
      <c r="AB3" t="s">
        <v>11</v>
      </c>
      <c r="AC3" t="s">
        <v>5</v>
      </c>
      <c r="AD3" t="s">
        <v>23</v>
      </c>
      <c r="AE3" t="s">
        <v>18</v>
      </c>
      <c r="AF3" t="s">
        <v>19</v>
      </c>
      <c r="AG3" t="s">
        <v>12</v>
      </c>
      <c r="AH3" t="s">
        <v>84</v>
      </c>
    </row>
    <row r="4" spans="1:34" x14ac:dyDescent="0.25">
      <c r="A4" t="s">
        <v>9</v>
      </c>
      <c r="B4">
        <v>2015</v>
      </c>
      <c r="C4">
        <v>108.36109999999999</v>
      </c>
      <c r="G4" s="2">
        <v>2015</v>
      </c>
      <c r="H4" s="5">
        <v>267.25490000000002</v>
      </c>
      <c r="I4" s="5"/>
      <c r="J4" s="5"/>
      <c r="K4" s="5"/>
      <c r="L4" s="5">
        <v>88.208200000000005</v>
      </c>
      <c r="M4" s="5"/>
      <c r="N4" s="5"/>
      <c r="O4" s="5"/>
      <c r="P4" s="5">
        <v>112.7824</v>
      </c>
      <c r="Q4" s="5"/>
      <c r="R4" s="5">
        <v>297.0247</v>
      </c>
      <c r="S4" s="5"/>
      <c r="T4" s="5"/>
      <c r="U4" s="5"/>
      <c r="V4" s="5">
        <v>108.36109999999999</v>
      </c>
      <c r="W4" s="5"/>
      <c r="X4" s="5"/>
      <c r="Y4" s="5"/>
      <c r="Z4" s="5"/>
      <c r="AA4" s="5">
        <v>157.3562</v>
      </c>
      <c r="AB4" s="5"/>
      <c r="AC4" s="5">
        <v>137.1739</v>
      </c>
      <c r="AD4" s="5"/>
      <c r="AE4" s="5"/>
      <c r="AF4" s="5"/>
      <c r="AG4" s="5"/>
      <c r="AH4" s="5">
        <v>1168.1614</v>
      </c>
    </row>
    <row r="5" spans="1:34" x14ac:dyDescent="0.25">
      <c r="A5" t="s">
        <v>5</v>
      </c>
      <c r="B5">
        <v>2015</v>
      </c>
      <c r="C5">
        <v>137.1739</v>
      </c>
      <c r="E5" s="3" t="s">
        <v>85</v>
      </c>
      <c r="G5" s="2">
        <v>2016</v>
      </c>
      <c r="H5" s="5">
        <v>285.74020000000002</v>
      </c>
      <c r="I5" s="5"/>
      <c r="J5" s="5"/>
      <c r="K5" s="5"/>
      <c r="L5" s="5">
        <v>101.5342</v>
      </c>
      <c r="M5" s="5"/>
      <c r="N5" s="5"/>
      <c r="O5" s="5"/>
      <c r="P5" s="5">
        <v>136.1206</v>
      </c>
      <c r="Q5" s="5"/>
      <c r="R5" s="5">
        <v>300.54640000000001</v>
      </c>
      <c r="S5" s="5"/>
      <c r="T5" s="5">
        <v>166.8665</v>
      </c>
      <c r="U5" s="5"/>
      <c r="V5" s="5">
        <v>121.35939999999999</v>
      </c>
      <c r="W5" s="5"/>
      <c r="X5" s="5"/>
      <c r="Y5" s="5"/>
      <c r="Z5" s="5"/>
      <c r="AA5" s="5">
        <v>231.8657</v>
      </c>
      <c r="AB5" s="5"/>
      <c r="AC5" s="5">
        <v>231.35730000000001</v>
      </c>
      <c r="AD5" s="5"/>
      <c r="AE5" s="5"/>
      <c r="AF5" s="5"/>
      <c r="AG5" s="5">
        <v>97.550600000000003</v>
      </c>
      <c r="AH5" s="5">
        <v>1672.9409000000001</v>
      </c>
    </row>
    <row r="6" spans="1:34" x14ac:dyDescent="0.25">
      <c r="A6" t="s">
        <v>6</v>
      </c>
      <c r="B6">
        <v>2015</v>
      </c>
      <c r="C6">
        <v>267.25490000000002</v>
      </c>
      <c r="E6">
        <f>COUNTA(_xlfn.UNIQUE(Table1[[#All],[City]]))</f>
        <v>27</v>
      </c>
      <c r="G6" s="2">
        <v>2017</v>
      </c>
      <c r="H6" s="5">
        <v>528.15070000000003</v>
      </c>
      <c r="I6" s="5"/>
      <c r="J6" s="5">
        <v>187.44739999999999</v>
      </c>
      <c r="K6" s="5">
        <v>133.0608</v>
      </c>
      <c r="L6" s="5">
        <v>86.882199999999997</v>
      </c>
      <c r="M6" s="5"/>
      <c r="N6" s="5">
        <v>123.8</v>
      </c>
      <c r="O6" s="5"/>
      <c r="P6" s="5">
        <v>103.9614</v>
      </c>
      <c r="Q6" s="5"/>
      <c r="R6" s="5">
        <v>251.08519999999999</v>
      </c>
      <c r="S6" s="5"/>
      <c r="T6" s="5">
        <v>260.18610000000001</v>
      </c>
      <c r="U6" s="5"/>
      <c r="V6" s="5">
        <v>110.17529999999999</v>
      </c>
      <c r="W6" s="5">
        <v>147.96340000000001</v>
      </c>
      <c r="X6" s="5">
        <v>63.740299999999998</v>
      </c>
      <c r="Y6" s="5"/>
      <c r="Z6" s="5"/>
      <c r="AA6" s="5">
        <v>236.96690000000001</v>
      </c>
      <c r="AB6" s="5"/>
      <c r="AC6" s="5">
        <v>207.9513</v>
      </c>
      <c r="AD6" s="5"/>
      <c r="AE6" s="5"/>
      <c r="AF6" s="5">
        <v>56.104199999999999</v>
      </c>
      <c r="AG6" s="5">
        <v>115.4924</v>
      </c>
      <c r="AH6" s="5">
        <v>2612.9675999999999</v>
      </c>
    </row>
    <row r="7" spans="1:34" x14ac:dyDescent="0.25">
      <c r="A7" t="s">
        <v>7</v>
      </c>
      <c r="B7">
        <v>2015</v>
      </c>
      <c r="C7">
        <v>157.3562</v>
      </c>
      <c r="G7" s="2">
        <v>2018</v>
      </c>
      <c r="H7" s="5">
        <v>611.97799999999995</v>
      </c>
      <c r="I7" s="5"/>
      <c r="J7" s="5">
        <v>88.363100000000003</v>
      </c>
      <c r="K7" s="5">
        <v>111.8764</v>
      </c>
      <c r="L7" s="5">
        <v>85.361599999999996</v>
      </c>
      <c r="M7" s="5"/>
      <c r="N7" s="5">
        <v>149.81039999999999</v>
      </c>
      <c r="O7" s="5"/>
      <c r="P7" s="5">
        <v>105.49039999999999</v>
      </c>
      <c r="Q7" s="5"/>
      <c r="R7" s="5">
        <v>249.15889999999999</v>
      </c>
      <c r="S7" s="5"/>
      <c r="T7" s="5">
        <v>219.3168</v>
      </c>
      <c r="U7" s="5"/>
      <c r="V7" s="5">
        <v>97.556200000000004</v>
      </c>
      <c r="W7" s="5">
        <v>150.0274</v>
      </c>
      <c r="X7" s="5">
        <v>155.49629999999999</v>
      </c>
      <c r="Y7" s="5"/>
      <c r="Z7" s="5">
        <v>120.282</v>
      </c>
      <c r="AA7" s="5">
        <v>233.77260000000001</v>
      </c>
      <c r="AB7" s="5">
        <v>66.361800000000002</v>
      </c>
      <c r="AC7" s="5">
        <v>231.07400000000001</v>
      </c>
      <c r="AD7" s="5"/>
      <c r="AE7" s="5">
        <v>156.3134</v>
      </c>
      <c r="AF7" s="5">
        <v>82.547899999999998</v>
      </c>
      <c r="AG7" s="5">
        <v>115.05459999999999</v>
      </c>
      <c r="AH7" s="5">
        <v>3029.8418000000001</v>
      </c>
    </row>
    <row r="8" spans="1:34" x14ac:dyDescent="0.25">
      <c r="A8" t="s">
        <v>8</v>
      </c>
      <c r="B8">
        <v>2015</v>
      </c>
      <c r="C8">
        <v>297.0247</v>
      </c>
      <c r="G8" s="2">
        <v>2019</v>
      </c>
      <c r="H8" s="5">
        <v>504.87779999999998</v>
      </c>
      <c r="I8" s="5"/>
      <c r="J8" s="5">
        <v>95.698099999999997</v>
      </c>
      <c r="K8" s="5">
        <v>108.6</v>
      </c>
      <c r="L8" s="5">
        <v>91.602699999999999</v>
      </c>
      <c r="M8" s="5">
        <v>161.07550000000001</v>
      </c>
      <c r="N8" s="5">
        <v>135.3683</v>
      </c>
      <c r="O8" s="5">
        <v>131.06610000000001</v>
      </c>
      <c r="P8" s="5">
        <v>102.9425</v>
      </c>
      <c r="Q8" s="5">
        <v>71.334999999999994</v>
      </c>
      <c r="R8" s="5">
        <v>232.10409999999999</v>
      </c>
      <c r="S8" s="5"/>
      <c r="T8" s="5">
        <v>194.68770000000001</v>
      </c>
      <c r="U8" s="5">
        <v>124.76179999999999</v>
      </c>
      <c r="V8" s="5">
        <v>93.980800000000002</v>
      </c>
      <c r="W8" s="5">
        <v>120.5123</v>
      </c>
      <c r="X8" s="5">
        <v>147.8297</v>
      </c>
      <c r="Y8" s="5"/>
      <c r="Z8" s="5">
        <v>143.90960000000001</v>
      </c>
      <c r="AA8" s="5">
        <v>202.5616</v>
      </c>
      <c r="AB8" s="5">
        <v>107.9507</v>
      </c>
      <c r="AC8" s="5">
        <v>215.261</v>
      </c>
      <c r="AD8" s="5">
        <v>27.742599999999999</v>
      </c>
      <c r="AE8" s="5">
        <v>145.0822</v>
      </c>
      <c r="AF8" s="5">
        <v>74.537599999999998</v>
      </c>
      <c r="AG8" s="5">
        <v>117.9104</v>
      </c>
      <c r="AH8" s="5">
        <v>3351.3980999999999</v>
      </c>
    </row>
    <row r="9" spans="1:34" x14ac:dyDescent="0.25">
      <c r="A9" t="s">
        <v>12</v>
      </c>
      <c r="B9">
        <v>2016</v>
      </c>
      <c r="C9">
        <v>97.550600000000003</v>
      </c>
      <c r="G9" s="2">
        <v>2020</v>
      </c>
      <c r="H9" s="5">
        <v>232.80869999999999</v>
      </c>
      <c r="I9" s="5">
        <v>34.150399999999998</v>
      </c>
      <c r="J9" s="5">
        <v>59.879800000000003</v>
      </c>
      <c r="K9" s="5">
        <v>91.4011</v>
      </c>
      <c r="L9" s="5">
        <v>79.715800000000002</v>
      </c>
      <c r="M9" s="5">
        <v>114.092</v>
      </c>
      <c r="N9" s="5">
        <v>108.4314</v>
      </c>
      <c r="O9" s="5">
        <v>71.005499999999998</v>
      </c>
      <c r="P9" s="5">
        <v>80.251400000000004</v>
      </c>
      <c r="Q9" s="5">
        <v>58.779000000000003</v>
      </c>
      <c r="R9" s="5">
        <v>181.6721</v>
      </c>
      <c r="S9" s="5">
        <v>88.874200000000002</v>
      </c>
      <c r="T9" s="5">
        <v>158.6557</v>
      </c>
      <c r="U9" s="5">
        <v>161.50819999999999</v>
      </c>
      <c r="V9" s="5">
        <v>78.174899999999994</v>
      </c>
      <c r="W9" s="5">
        <v>105.1202</v>
      </c>
      <c r="X9" s="5">
        <v>129.3681</v>
      </c>
      <c r="Y9" s="5">
        <v>101.7099</v>
      </c>
      <c r="Z9" s="5">
        <v>117.29510000000001</v>
      </c>
      <c r="AA9" s="5">
        <v>157.12569999999999</v>
      </c>
      <c r="AB9" s="5">
        <v>103.56829999999999</v>
      </c>
      <c r="AC9" s="5">
        <v>162.25139999999999</v>
      </c>
      <c r="AD9" s="5">
        <v>53.070999999999998</v>
      </c>
      <c r="AE9" s="5">
        <v>146.59649999999999</v>
      </c>
      <c r="AF9" s="5">
        <v>66.464500000000001</v>
      </c>
      <c r="AG9" s="5">
        <v>82.824200000000005</v>
      </c>
      <c r="AH9" s="5">
        <v>2824.7950999999998</v>
      </c>
    </row>
    <row r="10" spans="1:34" x14ac:dyDescent="0.25">
      <c r="A10" t="s">
        <v>5</v>
      </c>
      <c r="B10">
        <v>2016</v>
      </c>
      <c r="C10">
        <v>231.35730000000001</v>
      </c>
      <c r="G10" s="2" t="s">
        <v>84</v>
      </c>
      <c r="H10" s="5">
        <v>2430.8103000000001</v>
      </c>
      <c r="I10" s="5">
        <v>34.150399999999998</v>
      </c>
      <c r="J10" s="5">
        <v>431.38839999999999</v>
      </c>
      <c r="K10" s="5">
        <v>444.93830000000003</v>
      </c>
      <c r="L10" s="5">
        <v>533.30470000000003</v>
      </c>
      <c r="M10" s="5">
        <v>275.16750000000002</v>
      </c>
      <c r="N10" s="5">
        <v>517.41010000000006</v>
      </c>
      <c r="O10" s="5">
        <v>202.07159999999999</v>
      </c>
      <c r="P10" s="5">
        <v>641.54870000000005</v>
      </c>
      <c r="Q10" s="5">
        <v>130.114</v>
      </c>
      <c r="R10" s="5">
        <v>1511.5914</v>
      </c>
      <c r="S10" s="5">
        <v>88.874200000000002</v>
      </c>
      <c r="T10" s="5">
        <v>999.71280000000002</v>
      </c>
      <c r="U10" s="5">
        <v>286.27</v>
      </c>
      <c r="V10" s="5">
        <v>609.60770000000002</v>
      </c>
      <c r="W10" s="5">
        <v>523.62329999999997</v>
      </c>
      <c r="X10" s="5">
        <v>496.43439999999998</v>
      </c>
      <c r="Y10" s="5">
        <v>101.7099</v>
      </c>
      <c r="Z10" s="5">
        <v>381.48669999999998</v>
      </c>
      <c r="AA10" s="5">
        <v>1219.6487</v>
      </c>
      <c r="AB10" s="5">
        <v>277.88080000000002</v>
      </c>
      <c r="AC10" s="5">
        <v>1185.0689</v>
      </c>
      <c r="AD10" s="5">
        <v>80.813599999999994</v>
      </c>
      <c r="AE10" s="5">
        <v>447.99209999999999</v>
      </c>
      <c r="AF10" s="5">
        <v>279.6542</v>
      </c>
      <c r="AG10" s="5">
        <v>528.83219999999994</v>
      </c>
      <c r="AH10" s="5">
        <v>14660.1049</v>
      </c>
    </row>
    <row r="11" spans="1:34" x14ac:dyDescent="0.25">
      <c r="A11" t="s">
        <v>7</v>
      </c>
      <c r="B11">
        <v>2016</v>
      </c>
      <c r="C11">
        <v>231.8657</v>
      </c>
    </row>
    <row r="12" spans="1:34" x14ac:dyDescent="0.25">
      <c r="A12" t="s">
        <v>3</v>
      </c>
      <c r="B12">
        <v>2016</v>
      </c>
      <c r="C12">
        <v>136.1206</v>
      </c>
    </row>
    <row r="13" spans="1:34" x14ac:dyDescent="0.25">
      <c r="A13" t="s">
        <v>9</v>
      </c>
      <c r="B13">
        <v>2016</v>
      </c>
      <c r="C13">
        <v>121.35939999999999</v>
      </c>
    </row>
    <row r="14" spans="1:34" x14ac:dyDescent="0.25">
      <c r="A14" t="s">
        <v>10</v>
      </c>
      <c r="B14">
        <v>2016</v>
      </c>
      <c r="C14">
        <v>166.8665</v>
      </c>
    </row>
    <row r="15" spans="1:34" x14ac:dyDescent="0.25">
      <c r="A15" t="s">
        <v>8</v>
      </c>
      <c r="B15">
        <v>2016</v>
      </c>
      <c r="C15">
        <v>300.54640000000001</v>
      </c>
    </row>
    <row r="16" spans="1:34" x14ac:dyDescent="0.25">
      <c r="A16" t="s">
        <v>6</v>
      </c>
      <c r="B16">
        <v>2016</v>
      </c>
      <c r="C16">
        <v>285.74020000000002</v>
      </c>
    </row>
    <row r="17" spans="1:3" x14ac:dyDescent="0.25">
      <c r="A17" t="s">
        <v>4</v>
      </c>
      <c r="B17">
        <v>2016</v>
      </c>
      <c r="C17">
        <v>101.5342</v>
      </c>
    </row>
    <row r="18" spans="1:3" x14ac:dyDescent="0.25">
      <c r="A18" t="s">
        <v>14</v>
      </c>
      <c r="B18">
        <v>2017</v>
      </c>
      <c r="C18">
        <v>147.96340000000001</v>
      </c>
    </row>
    <row r="19" spans="1:3" x14ac:dyDescent="0.25">
      <c r="A19" t="s">
        <v>12</v>
      </c>
      <c r="B19">
        <v>2017</v>
      </c>
      <c r="C19">
        <v>115.4924</v>
      </c>
    </row>
    <row r="20" spans="1:3" x14ac:dyDescent="0.25">
      <c r="A20" t="s">
        <v>5</v>
      </c>
      <c r="B20">
        <v>2017</v>
      </c>
      <c r="C20">
        <v>207.9513</v>
      </c>
    </row>
    <row r="21" spans="1:3" x14ac:dyDescent="0.25">
      <c r="A21" t="s">
        <v>13</v>
      </c>
      <c r="B21">
        <v>2017</v>
      </c>
      <c r="C21">
        <v>133.0608</v>
      </c>
    </row>
    <row r="22" spans="1:3" x14ac:dyDescent="0.25">
      <c r="A22" t="s">
        <v>7</v>
      </c>
      <c r="B22">
        <v>2017</v>
      </c>
      <c r="C22">
        <v>236.96690000000001</v>
      </c>
    </row>
    <row r="23" spans="1:3" x14ac:dyDescent="0.25">
      <c r="A23" t="s">
        <v>8</v>
      </c>
      <c r="B23">
        <v>2017</v>
      </c>
      <c r="C23">
        <v>251.08519999999999</v>
      </c>
    </row>
    <row r="24" spans="1:3" x14ac:dyDescent="0.25">
      <c r="A24" t="s">
        <v>6</v>
      </c>
      <c r="B24">
        <v>2017</v>
      </c>
      <c r="C24">
        <v>528.15070000000003</v>
      </c>
    </row>
    <row r="25" spans="1:3" x14ac:dyDescent="0.25">
      <c r="A25" t="s">
        <v>10</v>
      </c>
      <c r="B25">
        <v>2017</v>
      </c>
      <c r="C25">
        <v>260.18610000000001</v>
      </c>
    </row>
    <row r="26" spans="1:3" x14ac:dyDescent="0.25">
      <c r="A26" t="s">
        <v>3</v>
      </c>
      <c r="B26">
        <v>2017</v>
      </c>
      <c r="C26">
        <v>103.9614</v>
      </c>
    </row>
    <row r="27" spans="1:3" x14ac:dyDescent="0.25">
      <c r="A27" t="s">
        <v>4</v>
      </c>
      <c r="B27">
        <v>2017</v>
      </c>
      <c r="C27">
        <v>86.882199999999997</v>
      </c>
    </row>
    <row r="28" spans="1:3" x14ac:dyDescent="0.25">
      <c r="A28" t="s">
        <v>9</v>
      </c>
      <c r="B28">
        <v>2017</v>
      </c>
      <c r="C28">
        <v>110.17529999999999</v>
      </c>
    </row>
    <row r="29" spans="1:3" x14ac:dyDescent="0.25">
      <c r="A29" t="s">
        <v>15</v>
      </c>
      <c r="B29">
        <v>2017</v>
      </c>
      <c r="C29">
        <v>187.44739999999999</v>
      </c>
    </row>
    <row r="30" spans="1:3" x14ac:dyDescent="0.25">
      <c r="A30" t="s">
        <v>16</v>
      </c>
      <c r="B30">
        <v>2017</v>
      </c>
      <c r="C30">
        <v>123.8</v>
      </c>
    </row>
    <row r="31" spans="1:3" x14ac:dyDescent="0.25">
      <c r="A31" t="s">
        <v>17</v>
      </c>
      <c r="B31">
        <v>2017</v>
      </c>
      <c r="C31">
        <v>63.740299999999998</v>
      </c>
    </row>
    <row r="32" spans="1:3" x14ac:dyDescent="0.25">
      <c r="A32" t="s">
        <v>19</v>
      </c>
      <c r="B32">
        <v>2017</v>
      </c>
      <c r="C32">
        <v>56.104199999999999</v>
      </c>
    </row>
    <row r="33" spans="1:3" x14ac:dyDescent="0.25">
      <c r="A33" t="s">
        <v>16</v>
      </c>
      <c r="B33">
        <v>2018</v>
      </c>
      <c r="C33">
        <v>149.81039999999999</v>
      </c>
    </row>
    <row r="34" spans="1:3" x14ac:dyDescent="0.25">
      <c r="A34" t="s">
        <v>8</v>
      </c>
      <c r="B34">
        <v>2018</v>
      </c>
      <c r="C34">
        <v>249.15889999999999</v>
      </c>
    </row>
    <row r="35" spans="1:3" x14ac:dyDescent="0.25">
      <c r="A35" t="s">
        <v>12</v>
      </c>
      <c r="B35">
        <v>2018</v>
      </c>
      <c r="C35">
        <v>115.05459999999999</v>
      </c>
    </row>
    <row r="36" spans="1:3" x14ac:dyDescent="0.25">
      <c r="A36" t="s">
        <v>20</v>
      </c>
      <c r="B36">
        <v>2018</v>
      </c>
      <c r="C36">
        <v>120.282</v>
      </c>
    </row>
    <row r="37" spans="1:3" x14ac:dyDescent="0.25">
      <c r="A37" t="s">
        <v>11</v>
      </c>
      <c r="B37">
        <v>2018</v>
      </c>
      <c r="C37">
        <v>66.361800000000002</v>
      </c>
    </row>
    <row r="38" spans="1:3" x14ac:dyDescent="0.25">
      <c r="A38" t="s">
        <v>13</v>
      </c>
      <c r="B38">
        <v>2018</v>
      </c>
      <c r="C38">
        <v>111.8764</v>
      </c>
    </row>
    <row r="39" spans="1:3" x14ac:dyDescent="0.25">
      <c r="A39" t="s">
        <v>5</v>
      </c>
      <c r="B39">
        <v>2018</v>
      </c>
      <c r="C39">
        <v>231.07400000000001</v>
      </c>
    </row>
    <row r="40" spans="1:3" x14ac:dyDescent="0.25">
      <c r="A40" t="s">
        <v>14</v>
      </c>
      <c r="B40">
        <v>2018</v>
      </c>
      <c r="C40">
        <v>150.0274</v>
      </c>
    </row>
    <row r="41" spans="1:3" x14ac:dyDescent="0.25">
      <c r="A41" t="s">
        <v>7</v>
      </c>
      <c r="B41">
        <v>2018</v>
      </c>
      <c r="C41">
        <v>233.77260000000001</v>
      </c>
    </row>
    <row r="42" spans="1:3" x14ac:dyDescent="0.25">
      <c r="A42" t="s">
        <v>3</v>
      </c>
      <c r="B42">
        <v>2018</v>
      </c>
      <c r="C42">
        <v>105.49039999999999</v>
      </c>
    </row>
    <row r="43" spans="1:3" x14ac:dyDescent="0.25">
      <c r="A43" t="s">
        <v>4</v>
      </c>
      <c r="B43">
        <v>2018</v>
      </c>
      <c r="C43">
        <v>85.361599999999996</v>
      </c>
    </row>
    <row r="44" spans="1:3" x14ac:dyDescent="0.25">
      <c r="A44" t="s">
        <v>10</v>
      </c>
      <c r="B44">
        <v>2018</v>
      </c>
      <c r="C44">
        <v>219.3168</v>
      </c>
    </row>
    <row r="45" spans="1:3" x14ac:dyDescent="0.25">
      <c r="A45" t="s">
        <v>18</v>
      </c>
      <c r="B45">
        <v>2018</v>
      </c>
      <c r="C45">
        <v>156.3134</v>
      </c>
    </row>
    <row r="46" spans="1:3" x14ac:dyDescent="0.25">
      <c r="A46" t="s">
        <v>15</v>
      </c>
      <c r="B46">
        <v>2018</v>
      </c>
      <c r="C46">
        <v>88.363100000000003</v>
      </c>
    </row>
    <row r="47" spans="1:3" x14ac:dyDescent="0.25">
      <c r="A47" t="s">
        <v>6</v>
      </c>
      <c r="B47">
        <v>2018</v>
      </c>
      <c r="C47">
        <v>611.97799999999995</v>
      </c>
    </row>
    <row r="48" spans="1:3" x14ac:dyDescent="0.25">
      <c r="A48" t="s">
        <v>17</v>
      </c>
      <c r="B48">
        <v>2018</v>
      </c>
      <c r="C48">
        <v>155.49629999999999</v>
      </c>
    </row>
    <row r="49" spans="1:3" x14ac:dyDescent="0.25">
      <c r="A49" t="s">
        <v>9</v>
      </c>
      <c r="B49">
        <v>2018</v>
      </c>
      <c r="C49">
        <v>97.556200000000004</v>
      </c>
    </row>
    <row r="50" spans="1:3" x14ac:dyDescent="0.25">
      <c r="A50" t="s">
        <v>19</v>
      </c>
      <c r="B50">
        <v>2018</v>
      </c>
      <c r="C50">
        <v>82.547899999999998</v>
      </c>
    </row>
    <row r="51" spans="1:3" x14ac:dyDescent="0.25">
      <c r="A51" t="s">
        <v>18</v>
      </c>
      <c r="B51">
        <v>2019</v>
      </c>
      <c r="C51">
        <v>145.0822</v>
      </c>
    </row>
    <row r="52" spans="1:3" x14ac:dyDescent="0.25">
      <c r="A52" t="s">
        <v>15</v>
      </c>
      <c r="B52">
        <v>2019</v>
      </c>
      <c r="C52">
        <v>95.698099999999997</v>
      </c>
    </row>
    <row r="53" spans="1:3" x14ac:dyDescent="0.25">
      <c r="A53" t="s">
        <v>11</v>
      </c>
      <c r="B53">
        <v>2019</v>
      </c>
      <c r="C53">
        <v>107.9507</v>
      </c>
    </row>
    <row r="54" spans="1:3" x14ac:dyDescent="0.25">
      <c r="A54" t="s">
        <v>5</v>
      </c>
      <c r="B54">
        <v>2019</v>
      </c>
      <c r="C54">
        <v>215.261</v>
      </c>
    </row>
    <row r="55" spans="1:3" x14ac:dyDescent="0.25">
      <c r="A55" t="s">
        <v>22</v>
      </c>
      <c r="B55">
        <v>2019</v>
      </c>
      <c r="C55">
        <v>131.06610000000001</v>
      </c>
    </row>
    <row r="56" spans="1:3" x14ac:dyDescent="0.25">
      <c r="A56" t="s">
        <v>23</v>
      </c>
      <c r="B56">
        <v>2019</v>
      </c>
      <c r="C56">
        <v>27.742599999999999</v>
      </c>
    </row>
    <row r="57" spans="1:3" x14ac:dyDescent="0.25">
      <c r="A57" t="s">
        <v>13</v>
      </c>
      <c r="B57">
        <v>2019</v>
      </c>
      <c r="C57">
        <v>108.6</v>
      </c>
    </row>
    <row r="58" spans="1:3" x14ac:dyDescent="0.25">
      <c r="A58" t="s">
        <v>8</v>
      </c>
      <c r="B58">
        <v>2019</v>
      </c>
      <c r="C58">
        <v>232.10409999999999</v>
      </c>
    </row>
    <row r="59" spans="1:3" x14ac:dyDescent="0.25">
      <c r="A59" t="s">
        <v>21</v>
      </c>
      <c r="B59">
        <v>2019</v>
      </c>
      <c r="C59">
        <v>124.76179999999999</v>
      </c>
    </row>
    <row r="60" spans="1:3" x14ac:dyDescent="0.25">
      <c r="A60" t="s">
        <v>10</v>
      </c>
      <c r="B60">
        <v>2019</v>
      </c>
      <c r="C60">
        <v>194.68770000000001</v>
      </c>
    </row>
    <row r="61" spans="1:3" x14ac:dyDescent="0.25">
      <c r="A61" t="s">
        <v>6</v>
      </c>
      <c r="B61">
        <v>2019</v>
      </c>
      <c r="C61">
        <v>504.87779999999998</v>
      </c>
    </row>
    <row r="62" spans="1:3" x14ac:dyDescent="0.25">
      <c r="A62" t="s">
        <v>16</v>
      </c>
      <c r="B62">
        <v>2019</v>
      </c>
      <c r="C62">
        <v>135.3683</v>
      </c>
    </row>
    <row r="63" spans="1:3" x14ac:dyDescent="0.25">
      <c r="A63" t="s">
        <v>4</v>
      </c>
      <c r="B63">
        <v>2019</v>
      </c>
      <c r="C63">
        <v>91.602699999999999</v>
      </c>
    </row>
    <row r="64" spans="1:3" x14ac:dyDescent="0.25">
      <c r="A64" t="s">
        <v>14</v>
      </c>
      <c r="B64">
        <v>2019</v>
      </c>
      <c r="C64">
        <v>120.5123</v>
      </c>
    </row>
    <row r="65" spans="1:3" x14ac:dyDescent="0.25">
      <c r="A65" t="s">
        <v>24</v>
      </c>
      <c r="B65">
        <v>2019</v>
      </c>
      <c r="C65">
        <v>71.334999999999994</v>
      </c>
    </row>
    <row r="66" spans="1:3" x14ac:dyDescent="0.25">
      <c r="A66" t="s">
        <v>25</v>
      </c>
      <c r="B66">
        <v>2019</v>
      </c>
      <c r="C66">
        <v>161.07550000000001</v>
      </c>
    </row>
    <row r="67" spans="1:3" x14ac:dyDescent="0.25">
      <c r="A67" t="s">
        <v>7</v>
      </c>
      <c r="B67">
        <v>2019</v>
      </c>
      <c r="C67">
        <v>202.5616</v>
      </c>
    </row>
    <row r="68" spans="1:3" x14ac:dyDescent="0.25">
      <c r="A68" t="s">
        <v>12</v>
      </c>
      <c r="B68">
        <v>2019</v>
      </c>
      <c r="C68">
        <v>117.9104</v>
      </c>
    </row>
    <row r="69" spans="1:3" x14ac:dyDescent="0.25">
      <c r="A69" t="s">
        <v>9</v>
      </c>
      <c r="B69">
        <v>2019</v>
      </c>
      <c r="C69">
        <v>93.980800000000002</v>
      </c>
    </row>
    <row r="70" spans="1:3" x14ac:dyDescent="0.25">
      <c r="A70" t="s">
        <v>17</v>
      </c>
      <c r="B70">
        <v>2019</v>
      </c>
      <c r="C70">
        <v>147.8297</v>
      </c>
    </row>
    <row r="71" spans="1:3" x14ac:dyDescent="0.25">
      <c r="A71" t="s">
        <v>3</v>
      </c>
      <c r="B71">
        <v>2019</v>
      </c>
      <c r="C71">
        <v>102.9425</v>
      </c>
    </row>
    <row r="72" spans="1:3" x14ac:dyDescent="0.25">
      <c r="A72" t="s">
        <v>20</v>
      </c>
      <c r="B72">
        <v>2019</v>
      </c>
      <c r="C72">
        <v>143.90960000000001</v>
      </c>
    </row>
    <row r="73" spans="1:3" x14ac:dyDescent="0.25">
      <c r="A73" t="s">
        <v>19</v>
      </c>
      <c r="B73">
        <v>2019</v>
      </c>
      <c r="C73">
        <v>74.537599999999998</v>
      </c>
    </row>
    <row r="74" spans="1:3" x14ac:dyDescent="0.25">
      <c r="A74" t="s">
        <v>14</v>
      </c>
      <c r="B74">
        <v>2020</v>
      </c>
      <c r="C74">
        <v>105.1202</v>
      </c>
    </row>
    <row r="75" spans="1:3" x14ac:dyDescent="0.25">
      <c r="A75" t="s">
        <v>26</v>
      </c>
      <c r="B75">
        <v>2020</v>
      </c>
      <c r="C75">
        <v>34.150399999999998</v>
      </c>
    </row>
    <row r="76" spans="1:3" x14ac:dyDescent="0.25">
      <c r="A76" t="s">
        <v>13</v>
      </c>
      <c r="B76">
        <v>2020</v>
      </c>
      <c r="C76">
        <v>91.4011</v>
      </c>
    </row>
    <row r="77" spans="1:3" x14ac:dyDescent="0.25">
      <c r="A77" t="s">
        <v>20</v>
      </c>
      <c r="B77">
        <v>2020</v>
      </c>
      <c r="C77">
        <v>117.29510000000001</v>
      </c>
    </row>
    <row r="78" spans="1:3" x14ac:dyDescent="0.25">
      <c r="A78" t="s">
        <v>7</v>
      </c>
      <c r="B78">
        <v>2020</v>
      </c>
      <c r="C78">
        <v>157.12569999999999</v>
      </c>
    </row>
    <row r="79" spans="1:3" x14ac:dyDescent="0.25">
      <c r="A79" t="s">
        <v>3</v>
      </c>
      <c r="B79">
        <v>2020</v>
      </c>
      <c r="C79">
        <v>80.251400000000004</v>
      </c>
    </row>
    <row r="80" spans="1:3" x14ac:dyDescent="0.25">
      <c r="A80" t="s">
        <v>4</v>
      </c>
      <c r="B80">
        <v>2020</v>
      </c>
      <c r="C80">
        <v>79.715800000000002</v>
      </c>
    </row>
    <row r="81" spans="1:3" x14ac:dyDescent="0.25">
      <c r="A81" t="s">
        <v>16</v>
      </c>
      <c r="B81">
        <v>2020</v>
      </c>
      <c r="C81">
        <v>108.4314</v>
      </c>
    </row>
    <row r="82" spans="1:3" x14ac:dyDescent="0.25">
      <c r="A82" t="s">
        <v>5</v>
      </c>
      <c r="B82">
        <v>2020</v>
      </c>
      <c r="C82">
        <v>162.25139999999999</v>
      </c>
    </row>
    <row r="83" spans="1:3" x14ac:dyDescent="0.25">
      <c r="A83" t="s">
        <v>10</v>
      </c>
      <c r="B83">
        <v>2020</v>
      </c>
      <c r="C83">
        <v>158.6557</v>
      </c>
    </row>
    <row r="84" spans="1:3" x14ac:dyDescent="0.25">
      <c r="A84" t="s">
        <v>22</v>
      </c>
      <c r="B84">
        <v>2020</v>
      </c>
      <c r="C84">
        <v>71.005499999999998</v>
      </c>
    </row>
    <row r="85" spans="1:3" x14ac:dyDescent="0.25">
      <c r="A85" t="s">
        <v>6</v>
      </c>
      <c r="B85">
        <v>2020</v>
      </c>
      <c r="C85">
        <v>232.80869999999999</v>
      </c>
    </row>
    <row r="86" spans="1:3" x14ac:dyDescent="0.25">
      <c r="A86" t="s">
        <v>11</v>
      </c>
      <c r="B86">
        <v>2020</v>
      </c>
      <c r="C86">
        <v>103.56829999999999</v>
      </c>
    </row>
    <row r="87" spans="1:3" x14ac:dyDescent="0.25">
      <c r="A87" t="s">
        <v>24</v>
      </c>
      <c r="B87">
        <v>2020</v>
      </c>
      <c r="C87">
        <v>58.779000000000003</v>
      </c>
    </row>
    <row r="88" spans="1:3" x14ac:dyDescent="0.25">
      <c r="A88" t="s">
        <v>28</v>
      </c>
      <c r="B88">
        <v>2020</v>
      </c>
      <c r="C88">
        <v>101.7099</v>
      </c>
    </row>
    <row r="89" spans="1:3" x14ac:dyDescent="0.25">
      <c r="A89" t="s">
        <v>15</v>
      </c>
      <c r="B89">
        <v>2020</v>
      </c>
      <c r="C89">
        <v>59.879800000000003</v>
      </c>
    </row>
    <row r="90" spans="1:3" x14ac:dyDescent="0.25">
      <c r="A90" t="s">
        <v>25</v>
      </c>
      <c r="B90">
        <v>2020</v>
      </c>
      <c r="C90">
        <v>114.092</v>
      </c>
    </row>
    <row r="91" spans="1:3" x14ac:dyDescent="0.25">
      <c r="A91" t="s">
        <v>18</v>
      </c>
      <c r="B91">
        <v>2020</v>
      </c>
      <c r="C91">
        <v>146.59649999999999</v>
      </c>
    </row>
    <row r="92" spans="1:3" x14ac:dyDescent="0.25">
      <c r="A92" t="s">
        <v>23</v>
      </c>
      <c r="B92">
        <v>2020</v>
      </c>
      <c r="C92">
        <v>53.070999999999998</v>
      </c>
    </row>
    <row r="93" spans="1:3" x14ac:dyDescent="0.25">
      <c r="A93" t="s">
        <v>27</v>
      </c>
      <c r="B93">
        <v>2020</v>
      </c>
      <c r="C93">
        <v>88.874200000000002</v>
      </c>
    </row>
    <row r="94" spans="1:3" x14ac:dyDescent="0.25">
      <c r="A94" t="s">
        <v>9</v>
      </c>
      <c r="B94">
        <v>2020</v>
      </c>
      <c r="C94">
        <v>78.174899999999994</v>
      </c>
    </row>
    <row r="95" spans="1:3" x14ac:dyDescent="0.25">
      <c r="A95" t="s">
        <v>17</v>
      </c>
      <c r="B95">
        <v>2020</v>
      </c>
      <c r="C95">
        <v>129.3681</v>
      </c>
    </row>
    <row r="96" spans="1:3" x14ac:dyDescent="0.25">
      <c r="A96" t="s">
        <v>21</v>
      </c>
      <c r="B96">
        <v>2020</v>
      </c>
      <c r="C96">
        <v>161.50819999999999</v>
      </c>
    </row>
    <row r="97" spans="1:3" x14ac:dyDescent="0.25">
      <c r="A97" t="s">
        <v>12</v>
      </c>
      <c r="B97">
        <v>2020</v>
      </c>
      <c r="C97">
        <v>82.824200000000005</v>
      </c>
    </row>
    <row r="98" spans="1:3" x14ac:dyDescent="0.25">
      <c r="A98" t="s">
        <v>8</v>
      </c>
      <c r="B98">
        <v>2020</v>
      </c>
      <c r="C98">
        <v>181.6721</v>
      </c>
    </row>
    <row r="99" spans="1:3" x14ac:dyDescent="0.25">
      <c r="A99" t="s">
        <v>19</v>
      </c>
      <c r="B99">
        <v>2020</v>
      </c>
      <c r="C99">
        <v>66.464500000000001</v>
      </c>
    </row>
  </sheetData>
  <pageMargins left="0.7" right="0.7" top="0.75" bottom="0.75" header="0.3" footer="0.3"/>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B24E2-6F70-45B6-A571-4866DEBB68AD}">
  <dimension ref="A1:I56"/>
  <sheetViews>
    <sheetView topLeftCell="C1" workbookViewId="0">
      <selection activeCell="AG1" sqref="AG1"/>
    </sheetView>
  </sheetViews>
  <sheetFormatPr defaultRowHeight="15" x14ac:dyDescent="0.25"/>
  <cols>
    <col min="1" max="1" width="19.7109375" bestFit="1" customWidth="1"/>
    <col min="2" max="2" width="13.42578125" customWidth="1"/>
    <col min="3" max="3" width="12.7109375" customWidth="1"/>
    <col min="5" max="5" width="11.7109375" bestFit="1" customWidth="1"/>
    <col min="6" max="6" width="12" bestFit="1" customWidth="1"/>
    <col min="7" max="7" width="17.5703125" bestFit="1" customWidth="1"/>
    <col min="8" max="8" width="11.28515625" bestFit="1" customWidth="1"/>
    <col min="9" max="10" width="12" bestFit="1" customWidth="1"/>
  </cols>
  <sheetData>
    <row r="1" spans="1:9" x14ac:dyDescent="0.25">
      <c r="A1" t="s">
        <v>0</v>
      </c>
      <c r="B1" t="s">
        <v>29</v>
      </c>
      <c r="C1" t="s">
        <v>30</v>
      </c>
      <c r="G1" s="6"/>
    </row>
    <row r="2" spans="1:9" x14ac:dyDescent="0.25">
      <c r="A2" t="s">
        <v>6</v>
      </c>
      <c r="B2" t="s">
        <v>31</v>
      </c>
      <c r="C2">
        <v>638</v>
      </c>
      <c r="E2" s="1" t="s">
        <v>0</v>
      </c>
      <c r="F2" t="s">
        <v>89</v>
      </c>
    </row>
    <row r="3" spans="1:9" x14ac:dyDescent="0.25">
      <c r="A3" t="s">
        <v>8</v>
      </c>
      <c r="B3" t="s">
        <v>32</v>
      </c>
      <c r="C3">
        <v>542</v>
      </c>
      <c r="E3" s="2" t="s">
        <v>8</v>
      </c>
      <c r="F3" s="4">
        <v>0.22716954775624237</v>
      </c>
    </row>
    <row r="4" spans="1:9" x14ac:dyDescent="0.25">
      <c r="A4" t="s">
        <v>8</v>
      </c>
      <c r="B4" t="s">
        <v>33</v>
      </c>
      <c r="C4">
        <v>520</v>
      </c>
      <c r="E4" s="2" t="s">
        <v>6</v>
      </c>
      <c r="F4" s="4">
        <v>0.19067574646411733</v>
      </c>
    </row>
    <row r="5" spans="1:9" x14ac:dyDescent="0.25">
      <c r="A5" t="s">
        <v>7</v>
      </c>
      <c r="B5" t="s">
        <v>33</v>
      </c>
      <c r="C5">
        <v>473</v>
      </c>
      <c r="E5" s="2" t="s">
        <v>7</v>
      </c>
      <c r="F5" s="4">
        <v>0.16326174262266457</v>
      </c>
    </row>
    <row r="6" spans="1:9" x14ac:dyDescent="0.25">
      <c r="A6" t="s">
        <v>5</v>
      </c>
      <c r="B6" t="s">
        <v>33</v>
      </c>
      <c r="C6">
        <v>371</v>
      </c>
      <c r="E6" s="2" t="s">
        <v>5</v>
      </c>
      <c r="F6" s="4">
        <v>0.13637157324951982</v>
      </c>
    </row>
    <row r="7" spans="1:9" x14ac:dyDescent="0.25">
      <c r="A7" t="s">
        <v>7</v>
      </c>
      <c r="B7" t="s">
        <v>32</v>
      </c>
      <c r="C7">
        <v>352</v>
      </c>
      <c r="E7" s="2" t="s">
        <v>10</v>
      </c>
      <c r="F7" s="4">
        <v>0.13148245154531168</v>
      </c>
    </row>
    <row r="8" spans="1:9" x14ac:dyDescent="0.25">
      <c r="A8" t="s">
        <v>10</v>
      </c>
      <c r="B8" t="s">
        <v>33</v>
      </c>
      <c r="C8">
        <v>348</v>
      </c>
      <c r="E8" s="2" t="s">
        <v>18</v>
      </c>
      <c r="F8" s="4">
        <v>3.5795355334381003E-2</v>
      </c>
    </row>
    <row r="9" spans="1:9" x14ac:dyDescent="0.25">
      <c r="A9" t="s">
        <v>10</v>
      </c>
      <c r="B9" t="s">
        <v>32</v>
      </c>
      <c r="C9">
        <v>310</v>
      </c>
      <c r="E9" s="2" t="s">
        <v>20</v>
      </c>
      <c r="F9" s="4">
        <v>3.457307490832897E-2</v>
      </c>
    </row>
    <row r="10" spans="1:9" x14ac:dyDescent="0.25">
      <c r="A10" t="s">
        <v>8</v>
      </c>
      <c r="B10" t="s">
        <v>31</v>
      </c>
      <c r="C10">
        <v>239</v>
      </c>
      <c r="E10" s="2" t="s">
        <v>17</v>
      </c>
      <c r="F10" s="4">
        <v>3.0207787672428845E-2</v>
      </c>
    </row>
    <row r="11" spans="1:9" x14ac:dyDescent="0.25">
      <c r="A11" t="s">
        <v>6</v>
      </c>
      <c r="B11" t="s">
        <v>32</v>
      </c>
      <c r="C11">
        <v>238</v>
      </c>
      <c r="E11" s="2" t="s">
        <v>16</v>
      </c>
      <c r="F11" s="4">
        <v>2.7239392352016764E-2</v>
      </c>
    </row>
    <row r="12" spans="1:9" x14ac:dyDescent="0.25">
      <c r="A12" t="s">
        <v>5</v>
      </c>
      <c r="B12" t="s">
        <v>32</v>
      </c>
      <c r="C12">
        <v>236</v>
      </c>
      <c r="E12" s="2" t="s">
        <v>21</v>
      </c>
      <c r="F12" s="4">
        <v>2.322332809498865E-2</v>
      </c>
    </row>
    <row r="13" spans="1:9" x14ac:dyDescent="0.25">
      <c r="A13" t="s">
        <v>6</v>
      </c>
      <c r="B13" t="s">
        <v>33</v>
      </c>
      <c r="C13">
        <v>216</v>
      </c>
      <c r="E13" s="2" t="s">
        <v>84</v>
      </c>
      <c r="F13" s="4">
        <v>1</v>
      </c>
    </row>
    <row r="14" spans="1:9" x14ac:dyDescent="0.25">
      <c r="A14" t="s">
        <v>5</v>
      </c>
      <c r="B14" t="s">
        <v>31</v>
      </c>
      <c r="C14">
        <v>174</v>
      </c>
    </row>
    <row r="15" spans="1:9" x14ac:dyDescent="0.25">
      <c r="A15" t="s">
        <v>17</v>
      </c>
      <c r="B15" t="s">
        <v>32</v>
      </c>
      <c r="C15">
        <v>121</v>
      </c>
    </row>
    <row r="16" spans="1:9" x14ac:dyDescent="0.25">
      <c r="A16" t="s">
        <v>16</v>
      </c>
      <c r="B16" t="s">
        <v>32</v>
      </c>
      <c r="C16">
        <v>120</v>
      </c>
      <c r="H16" s="1" t="s">
        <v>0</v>
      </c>
      <c r="I16" t="s">
        <v>89</v>
      </c>
    </row>
    <row r="17" spans="1:9" x14ac:dyDescent="0.25">
      <c r="A17" t="s">
        <v>20</v>
      </c>
      <c r="B17" t="s">
        <v>32</v>
      </c>
      <c r="C17">
        <v>119</v>
      </c>
      <c r="H17" s="2" t="s">
        <v>8</v>
      </c>
      <c r="I17" s="7">
        <v>1301</v>
      </c>
    </row>
    <row r="18" spans="1:9" x14ac:dyDescent="0.25">
      <c r="A18" t="s">
        <v>7</v>
      </c>
      <c r="B18" t="s">
        <v>31</v>
      </c>
      <c r="C18">
        <v>110</v>
      </c>
      <c r="H18" s="2" t="s">
        <v>84</v>
      </c>
      <c r="I18" s="7">
        <v>1301</v>
      </c>
    </row>
    <row r="19" spans="1:9" x14ac:dyDescent="0.25">
      <c r="A19" t="s">
        <v>3</v>
      </c>
      <c r="B19" t="s">
        <v>32</v>
      </c>
      <c r="C19">
        <v>110</v>
      </c>
    </row>
    <row r="20" spans="1:9" x14ac:dyDescent="0.25">
      <c r="A20" t="s">
        <v>14</v>
      </c>
      <c r="B20" t="s">
        <v>32</v>
      </c>
      <c r="C20">
        <v>110</v>
      </c>
    </row>
    <row r="21" spans="1:9" x14ac:dyDescent="0.25">
      <c r="A21" t="s">
        <v>18</v>
      </c>
      <c r="B21" t="s">
        <v>33</v>
      </c>
      <c r="C21">
        <v>97</v>
      </c>
    </row>
    <row r="22" spans="1:9" x14ac:dyDescent="0.25">
      <c r="A22" t="s">
        <v>10</v>
      </c>
      <c r="B22" t="s">
        <v>31</v>
      </c>
      <c r="C22">
        <v>95</v>
      </c>
    </row>
    <row r="23" spans="1:9" x14ac:dyDescent="0.25">
      <c r="A23" t="s">
        <v>18</v>
      </c>
      <c r="B23" t="s">
        <v>32</v>
      </c>
      <c r="C23">
        <v>84</v>
      </c>
    </row>
    <row r="24" spans="1:9" x14ac:dyDescent="0.25">
      <c r="A24" t="s">
        <v>12</v>
      </c>
      <c r="B24" t="s">
        <v>32</v>
      </c>
      <c r="C24">
        <v>74</v>
      </c>
    </row>
    <row r="25" spans="1:9" x14ac:dyDescent="0.25">
      <c r="A25" t="s">
        <v>21</v>
      </c>
      <c r="B25" t="s">
        <v>32</v>
      </c>
      <c r="C25">
        <v>69</v>
      </c>
    </row>
    <row r="26" spans="1:9" x14ac:dyDescent="0.25">
      <c r="A26" t="s">
        <v>13</v>
      </c>
      <c r="B26" t="s">
        <v>32</v>
      </c>
      <c r="C26">
        <v>67</v>
      </c>
    </row>
    <row r="27" spans="1:9" x14ac:dyDescent="0.25">
      <c r="A27" t="s">
        <v>20</v>
      </c>
      <c r="B27" t="s">
        <v>33</v>
      </c>
      <c r="C27">
        <v>66</v>
      </c>
    </row>
    <row r="28" spans="1:9" x14ac:dyDescent="0.25">
      <c r="A28" t="s">
        <v>21</v>
      </c>
      <c r="B28" t="s">
        <v>33</v>
      </c>
      <c r="C28">
        <v>59</v>
      </c>
    </row>
    <row r="29" spans="1:9" x14ac:dyDescent="0.25">
      <c r="A29" t="s">
        <v>9</v>
      </c>
      <c r="B29" t="s">
        <v>32</v>
      </c>
      <c r="C29">
        <v>54</v>
      </c>
    </row>
    <row r="30" spans="1:9" x14ac:dyDescent="0.25">
      <c r="A30" t="s">
        <v>15</v>
      </c>
      <c r="B30" t="s">
        <v>32</v>
      </c>
      <c r="C30">
        <v>47</v>
      </c>
    </row>
    <row r="31" spans="1:9" x14ac:dyDescent="0.25">
      <c r="A31" t="s">
        <v>13</v>
      </c>
      <c r="B31" t="s">
        <v>33</v>
      </c>
      <c r="C31">
        <v>47</v>
      </c>
    </row>
    <row r="32" spans="1:9" x14ac:dyDescent="0.25">
      <c r="A32" t="s">
        <v>4</v>
      </c>
      <c r="B32" t="s">
        <v>32</v>
      </c>
      <c r="C32">
        <v>36</v>
      </c>
    </row>
    <row r="33" spans="1:3" x14ac:dyDescent="0.25">
      <c r="A33" t="s">
        <v>16</v>
      </c>
      <c r="B33" t="s">
        <v>33</v>
      </c>
      <c r="C33">
        <v>36</v>
      </c>
    </row>
    <row r="34" spans="1:3" x14ac:dyDescent="0.25">
      <c r="A34" t="s">
        <v>11</v>
      </c>
      <c r="B34" t="s">
        <v>32</v>
      </c>
      <c r="C34">
        <v>35</v>
      </c>
    </row>
    <row r="35" spans="1:3" x14ac:dyDescent="0.25">
      <c r="A35" t="s">
        <v>17</v>
      </c>
      <c r="B35" t="s">
        <v>33</v>
      </c>
      <c r="C35">
        <v>34</v>
      </c>
    </row>
    <row r="36" spans="1:3" x14ac:dyDescent="0.25">
      <c r="A36" t="s">
        <v>25</v>
      </c>
      <c r="B36" t="s">
        <v>32</v>
      </c>
      <c r="C36">
        <v>31</v>
      </c>
    </row>
    <row r="37" spans="1:3" x14ac:dyDescent="0.25">
      <c r="A37" t="s">
        <v>18</v>
      </c>
      <c r="B37" t="s">
        <v>31</v>
      </c>
      <c r="C37">
        <v>24</v>
      </c>
    </row>
    <row r="38" spans="1:3" x14ac:dyDescent="0.25">
      <c r="A38" t="s">
        <v>22</v>
      </c>
      <c r="B38" t="s">
        <v>32</v>
      </c>
      <c r="C38">
        <v>20</v>
      </c>
    </row>
    <row r="39" spans="1:3" x14ac:dyDescent="0.25">
      <c r="A39" t="s">
        <v>12</v>
      </c>
      <c r="B39" t="s">
        <v>33</v>
      </c>
      <c r="C39">
        <v>18</v>
      </c>
    </row>
    <row r="40" spans="1:3" x14ac:dyDescent="0.25">
      <c r="A40" t="s">
        <v>17</v>
      </c>
      <c r="B40" t="s">
        <v>31</v>
      </c>
      <c r="C40">
        <v>18</v>
      </c>
    </row>
    <row r="41" spans="1:3" x14ac:dyDescent="0.25">
      <c r="A41" t="s">
        <v>20</v>
      </c>
      <c r="B41" t="s">
        <v>31</v>
      </c>
      <c r="C41">
        <v>13</v>
      </c>
    </row>
    <row r="42" spans="1:3" x14ac:dyDescent="0.25">
      <c r="A42" t="s">
        <v>3</v>
      </c>
      <c r="B42" t="s">
        <v>33</v>
      </c>
      <c r="C42">
        <v>11</v>
      </c>
    </row>
    <row r="43" spans="1:3" x14ac:dyDescent="0.25">
      <c r="A43" t="s">
        <v>9</v>
      </c>
      <c r="B43" t="s">
        <v>33</v>
      </c>
      <c r="C43">
        <v>10</v>
      </c>
    </row>
    <row r="44" spans="1:3" x14ac:dyDescent="0.25">
      <c r="A44" t="s">
        <v>14</v>
      </c>
      <c r="B44" t="s">
        <v>33</v>
      </c>
      <c r="C44">
        <v>10</v>
      </c>
    </row>
    <row r="45" spans="1:3" x14ac:dyDescent="0.25">
      <c r="A45" t="s">
        <v>15</v>
      </c>
      <c r="B45" t="s">
        <v>33</v>
      </c>
      <c r="C45">
        <v>8</v>
      </c>
    </row>
    <row r="46" spans="1:3" x14ac:dyDescent="0.25">
      <c r="A46" t="s">
        <v>9</v>
      </c>
      <c r="B46" t="s">
        <v>31</v>
      </c>
      <c r="C46">
        <v>7</v>
      </c>
    </row>
    <row r="47" spans="1:3" x14ac:dyDescent="0.25">
      <c r="A47" t="s">
        <v>13</v>
      </c>
      <c r="B47" t="s">
        <v>31</v>
      </c>
      <c r="C47">
        <v>7</v>
      </c>
    </row>
    <row r="48" spans="1:3" x14ac:dyDescent="0.25">
      <c r="A48" t="s">
        <v>3</v>
      </c>
      <c r="B48" t="s">
        <v>31</v>
      </c>
      <c r="C48">
        <v>6</v>
      </c>
    </row>
    <row r="49" spans="1:3" x14ac:dyDescent="0.25">
      <c r="A49" t="s">
        <v>21</v>
      </c>
      <c r="B49" t="s">
        <v>31</v>
      </c>
      <c r="C49">
        <v>5</v>
      </c>
    </row>
    <row r="50" spans="1:3" x14ac:dyDescent="0.25">
      <c r="A50" t="s">
        <v>4</v>
      </c>
      <c r="B50" t="s">
        <v>33</v>
      </c>
      <c r="C50">
        <v>5</v>
      </c>
    </row>
    <row r="51" spans="1:3" x14ac:dyDescent="0.25">
      <c r="A51" t="s">
        <v>19</v>
      </c>
      <c r="B51" t="s">
        <v>32</v>
      </c>
      <c r="C51">
        <v>4</v>
      </c>
    </row>
    <row r="52" spans="1:3" x14ac:dyDescent="0.25">
      <c r="A52" t="s">
        <v>25</v>
      </c>
      <c r="B52" t="s">
        <v>33</v>
      </c>
      <c r="C52">
        <v>4</v>
      </c>
    </row>
    <row r="53" spans="1:3" x14ac:dyDescent="0.25">
      <c r="A53" t="s">
        <v>22</v>
      </c>
      <c r="B53" t="s">
        <v>33</v>
      </c>
      <c r="C53">
        <v>3</v>
      </c>
    </row>
    <row r="54" spans="1:3" x14ac:dyDescent="0.25">
      <c r="A54" t="s">
        <v>28</v>
      </c>
      <c r="B54" t="s">
        <v>32</v>
      </c>
      <c r="C54">
        <v>2</v>
      </c>
    </row>
    <row r="55" spans="1:3" x14ac:dyDescent="0.25">
      <c r="A55" t="s">
        <v>14</v>
      </c>
      <c r="B55" t="s">
        <v>31</v>
      </c>
      <c r="C55">
        <v>2</v>
      </c>
    </row>
    <row r="56" spans="1:3" x14ac:dyDescent="0.25">
      <c r="A56" t="s">
        <v>11</v>
      </c>
      <c r="B56" t="s">
        <v>33</v>
      </c>
      <c r="C56">
        <v>1</v>
      </c>
    </row>
  </sheetData>
  <pageMargins left="0.7" right="0.7" top="0.75" bottom="0.75" header="0.3" footer="0.3"/>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FDC5F-BC59-4FED-BBB3-DBCD75322A2F}">
  <dimension ref="A1:F56"/>
  <sheetViews>
    <sheetView topLeftCell="A2" workbookViewId="0">
      <selection activeCell="AG1" sqref="AG1"/>
    </sheetView>
  </sheetViews>
  <sheetFormatPr defaultRowHeight="15" x14ac:dyDescent="0.25"/>
  <cols>
    <col min="1" max="1" width="19.7109375" bestFit="1" customWidth="1"/>
    <col min="2" max="2" width="13.42578125" customWidth="1"/>
    <col min="3" max="3" width="12.7109375" customWidth="1"/>
    <col min="5" max="5" width="13.5703125" bestFit="1" customWidth="1"/>
    <col min="6" max="6" width="10" bestFit="1" customWidth="1"/>
    <col min="7" max="7" width="8.140625" bestFit="1" customWidth="1"/>
    <col min="8" max="8" width="9.7109375" bestFit="1" customWidth="1"/>
    <col min="9" max="10" width="11.28515625" bestFit="1" customWidth="1"/>
  </cols>
  <sheetData>
    <row r="1" spans="1:6" x14ac:dyDescent="0.25">
      <c r="A1" t="s">
        <v>0</v>
      </c>
      <c r="B1" t="s">
        <v>29</v>
      </c>
      <c r="C1" t="s">
        <v>30</v>
      </c>
    </row>
    <row r="2" spans="1:6" x14ac:dyDescent="0.25">
      <c r="A2" t="s">
        <v>6</v>
      </c>
      <c r="B2" t="s">
        <v>31</v>
      </c>
      <c r="C2">
        <v>638</v>
      </c>
    </row>
    <row r="3" spans="1:6" x14ac:dyDescent="0.25">
      <c r="A3" t="s">
        <v>8</v>
      </c>
      <c r="B3" t="s">
        <v>32</v>
      </c>
      <c r="C3">
        <v>542</v>
      </c>
      <c r="E3" s="1" t="s">
        <v>29</v>
      </c>
      <c r="F3" t="s">
        <v>87</v>
      </c>
    </row>
    <row r="4" spans="1:6" x14ac:dyDescent="0.25">
      <c r="A4" t="s">
        <v>8</v>
      </c>
      <c r="B4" t="s">
        <v>33</v>
      </c>
      <c r="C4">
        <v>520</v>
      </c>
      <c r="E4" s="2" t="s">
        <v>32</v>
      </c>
      <c r="F4" s="4">
        <v>0.43076208178438663</v>
      </c>
    </row>
    <row r="5" spans="1:6" x14ac:dyDescent="0.25">
      <c r="A5" t="s">
        <v>7</v>
      </c>
      <c r="B5" t="s">
        <v>33</v>
      </c>
      <c r="C5">
        <v>473</v>
      </c>
      <c r="E5" s="2" t="s">
        <v>31</v>
      </c>
      <c r="F5" s="4">
        <v>0.20724907063197026</v>
      </c>
    </row>
    <row r="6" spans="1:6" x14ac:dyDescent="0.25">
      <c r="A6" t="s">
        <v>5</v>
      </c>
      <c r="B6" t="s">
        <v>33</v>
      </c>
      <c r="C6">
        <v>371</v>
      </c>
      <c r="E6" s="2" t="s">
        <v>33</v>
      </c>
      <c r="F6" s="4">
        <v>0.36198884758364314</v>
      </c>
    </row>
    <row r="7" spans="1:6" x14ac:dyDescent="0.25">
      <c r="A7" t="s">
        <v>7</v>
      </c>
      <c r="B7" t="s">
        <v>32</v>
      </c>
      <c r="C7">
        <v>352</v>
      </c>
      <c r="E7" s="2" t="s">
        <v>84</v>
      </c>
      <c r="F7" s="4">
        <v>1</v>
      </c>
    </row>
    <row r="8" spans="1:6" x14ac:dyDescent="0.25">
      <c r="A8" t="s">
        <v>10</v>
      </c>
      <c r="B8" t="s">
        <v>33</v>
      </c>
      <c r="C8">
        <v>348</v>
      </c>
    </row>
    <row r="9" spans="1:6" x14ac:dyDescent="0.25">
      <c r="A9" t="s">
        <v>10</v>
      </c>
      <c r="B9" t="s">
        <v>32</v>
      </c>
      <c r="C9">
        <v>310</v>
      </c>
    </row>
    <row r="10" spans="1:6" x14ac:dyDescent="0.25">
      <c r="A10" t="s">
        <v>8</v>
      </c>
      <c r="B10" t="s">
        <v>31</v>
      </c>
      <c r="C10">
        <v>239</v>
      </c>
    </row>
    <row r="11" spans="1:6" x14ac:dyDescent="0.25">
      <c r="A11" t="s">
        <v>6</v>
      </c>
      <c r="B11" t="s">
        <v>32</v>
      </c>
      <c r="C11">
        <v>238</v>
      </c>
    </row>
    <row r="12" spans="1:6" x14ac:dyDescent="0.25">
      <c r="A12" t="s">
        <v>5</v>
      </c>
      <c r="B12" t="s">
        <v>32</v>
      </c>
      <c r="C12">
        <v>236</v>
      </c>
    </row>
    <row r="13" spans="1:6" x14ac:dyDescent="0.25">
      <c r="A13" t="s">
        <v>6</v>
      </c>
      <c r="B13" t="s">
        <v>33</v>
      </c>
      <c r="C13">
        <v>216</v>
      </c>
    </row>
    <row r="14" spans="1:6" x14ac:dyDescent="0.25">
      <c r="A14" t="s">
        <v>5</v>
      </c>
      <c r="B14" t="s">
        <v>31</v>
      </c>
      <c r="C14">
        <v>174</v>
      </c>
    </row>
    <row r="15" spans="1:6" x14ac:dyDescent="0.25">
      <c r="A15" t="s">
        <v>17</v>
      </c>
      <c r="B15" t="s">
        <v>32</v>
      </c>
      <c r="C15">
        <v>121</v>
      </c>
    </row>
    <row r="16" spans="1:6" x14ac:dyDescent="0.25">
      <c r="A16" t="s">
        <v>16</v>
      </c>
      <c r="B16" t="s">
        <v>32</v>
      </c>
      <c r="C16">
        <v>120</v>
      </c>
    </row>
    <row r="17" spans="1:3" x14ac:dyDescent="0.25">
      <c r="A17" t="s">
        <v>20</v>
      </c>
      <c r="B17" t="s">
        <v>32</v>
      </c>
      <c r="C17">
        <v>119</v>
      </c>
    </row>
    <row r="18" spans="1:3" x14ac:dyDescent="0.25">
      <c r="A18" t="s">
        <v>7</v>
      </c>
      <c r="B18" t="s">
        <v>31</v>
      </c>
      <c r="C18">
        <v>110</v>
      </c>
    </row>
    <row r="19" spans="1:3" x14ac:dyDescent="0.25">
      <c r="A19" t="s">
        <v>3</v>
      </c>
      <c r="B19" t="s">
        <v>32</v>
      </c>
      <c r="C19">
        <v>110</v>
      </c>
    </row>
    <row r="20" spans="1:3" x14ac:dyDescent="0.25">
      <c r="A20" t="s">
        <v>14</v>
      </c>
      <c r="B20" t="s">
        <v>32</v>
      </c>
      <c r="C20">
        <v>110</v>
      </c>
    </row>
    <row r="21" spans="1:3" x14ac:dyDescent="0.25">
      <c r="A21" t="s">
        <v>18</v>
      </c>
      <c r="B21" t="s">
        <v>33</v>
      </c>
      <c r="C21">
        <v>97</v>
      </c>
    </row>
    <row r="22" spans="1:3" x14ac:dyDescent="0.25">
      <c r="A22" t="s">
        <v>10</v>
      </c>
      <c r="B22" t="s">
        <v>31</v>
      </c>
      <c r="C22">
        <v>95</v>
      </c>
    </row>
    <row r="23" spans="1:3" x14ac:dyDescent="0.25">
      <c r="A23" t="s">
        <v>18</v>
      </c>
      <c r="B23" t="s">
        <v>32</v>
      </c>
      <c r="C23">
        <v>84</v>
      </c>
    </row>
    <row r="24" spans="1:3" x14ac:dyDescent="0.25">
      <c r="A24" t="s">
        <v>12</v>
      </c>
      <c r="B24" t="s">
        <v>32</v>
      </c>
      <c r="C24">
        <v>74</v>
      </c>
    </row>
    <row r="25" spans="1:3" x14ac:dyDescent="0.25">
      <c r="A25" t="s">
        <v>21</v>
      </c>
      <c r="B25" t="s">
        <v>32</v>
      </c>
      <c r="C25">
        <v>69</v>
      </c>
    </row>
    <row r="26" spans="1:3" x14ac:dyDescent="0.25">
      <c r="A26" t="s">
        <v>13</v>
      </c>
      <c r="B26" t="s">
        <v>32</v>
      </c>
      <c r="C26">
        <v>67</v>
      </c>
    </row>
    <row r="27" spans="1:3" x14ac:dyDescent="0.25">
      <c r="A27" t="s">
        <v>20</v>
      </c>
      <c r="B27" t="s">
        <v>33</v>
      </c>
      <c r="C27">
        <v>66</v>
      </c>
    </row>
    <row r="28" spans="1:3" x14ac:dyDescent="0.25">
      <c r="A28" t="s">
        <v>21</v>
      </c>
      <c r="B28" t="s">
        <v>33</v>
      </c>
      <c r="C28">
        <v>59</v>
      </c>
    </row>
    <row r="29" spans="1:3" x14ac:dyDescent="0.25">
      <c r="A29" t="s">
        <v>9</v>
      </c>
      <c r="B29" t="s">
        <v>32</v>
      </c>
      <c r="C29">
        <v>54</v>
      </c>
    </row>
    <row r="30" spans="1:3" x14ac:dyDescent="0.25">
      <c r="A30" t="s">
        <v>15</v>
      </c>
      <c r="B30" t="s">
        <v>32</v>
      </c>
      <c r="C30">
        <v>47</v>
      </c>
    </row>
    <row r="31" spans="1:3" x14ac:dyDescent="0.25">
      <c r="A31" t="s">
        <v>13</v>
      </c>
      <c r="B31" t="s">
        <v>33</v>
      </c>
      <c r="C31">
        <v>47</v>
      </c>
    </row>
    <row r="32" spans="1:3" x14ac:dyDescent="0.25">
      <c r="A32" t="s">
        <v>4</v>
      </c>
      <c r="B32" t="s">
        <v>32</v>
      </c>
      <c r="C32">
        <v>36</v>
      </c>
    </row>
    <row r="33" spans="1:3" x14ac:dyDescent="0.25">
      <c r="A33" t="s">
        <v>16</v>
      </c>
      <c r="B33" t="s">
        <v>33</v>
      </c>
      <c r="C33">
        <v>36</v>
      </c>
    </row>
    <row r="34" spans="1:3" x14ac:dyDescent="0.25">
      <c r="A34" t="s">
        <v>11</v>
      </c>
      <c r="B34" t="s">
        <v>32</v>
      </c>
      <c r="C34">
        <v>35</v>
      </c>
    </row>
    <row r="35" spans="1:3" x14ac:dyDescent="0.25">
      <c r="A35" t="s">
        <v>17</v>
      </c>
      <c r="B35" t="s">
        <v>33</v>
      </c>
      <c r="C35">
        <v>34</v>
      </c>
    </row>
    <row r="36" spans="1:3" x14ac:dyDescent="0.25">
      <c r="A36" t="s">
        <v>25</v>
      </c>
      <c r="B36" t="s">
        <v>32</v>
      </c>
      <c r="C36">
        <v>31</v>
      </c>
    </row>
    <row r="37" spans="1:3" x14ac:dyDescent="0.25">
      <c r="A37" t="s">
        <v>18</v>
      </c>
      <c r="B37" t="s">
        <v>31</v>
      </c>
      <c r="C37">
        <v>24</v>
      </c>
    </row>
    <row r="38" spans="1:3" x14ac:dyDescent="0.25">
      <c r="A38" t="s">
        <v>22</v>
      </c>
      <c r="B38" t="s">
        <v>32</v>
      </c>
      <c r="C38">
        <v>20</v>
      </c>
    </row>
    <row r="39" spans="1:3" x14ac:dyDescent="0.25">
      <c r="A39" t="s">
        <v>12</v>
      </c>
      <c r="B39" t="s">
        <v>33</v>
      </c>
      <c r="C39">
        <v>18</v>
      </c>
    </row>
    <row r="40" spans="1:3" x14ac:dyDescent="0.25">
      <c r="A40" t="s">
        <v>17</v>
      </c>
      <c r="B40" t="s">
        <v>31</v>
      </c>
      <c r="C40">
        <v>18</v>
      </c>
    </row>
    <row r="41" spans="1:3" x14ac:dyDescent="0.25">
      <c r="A41" t="s">
        <v>20</v>
      </c>
      <c r="B41" t="s">
        <v>31</v>
      </c>
      <c r="C41">
        <v>13</v>
      </c>
    </row>
    <row r="42" spans="1:3" x14ac:dyDescent="0.25">
      <c r="A42" t="s">
        <v>3</v>
      </c>
      <c r="B42" t="s">
        <v>33</v>
      </c>
      <c r="C42">
        <v>11</v>
      </c>
    </row>
    <row r="43" spans="1:3" x14ac:dyDescent="0.25">
      <c r="A43" t="s">
        <v>9</v>
      </c>
      <c r="B43" t="s">
        <v>33</v>
      </c>
      <c r="C43">
        <v>10</v>
      </c>
    </row>
    <row r="44" spans="1:3" x14ac:dyDescent="0.25">
      <c r="A44" t="s">
        <v>14</v>
      </c>
      <c r="B44" t="s">
        <v>33</v>
      </c>
      <c r="C44">
        <v>10</v>
      </c>
    </row>
    <row r="45" spans="1:3" x14ac:dyDescent="0.25">
      <c r="A45" t="s">
        <v>15</v>
      </c>
      <c r="B45" t="s">
        <v>33</v>
      </c>
      <c r="C45">
        <v>8</v>
      </c>
    </row>
    <row r="46" spans="1:3" x14ac:dyDescent="0.25">
      <c r="A46" t="s">
        <v>9</v>
      </c>
      <c r="B46" t="s">
        <v>31</v>
      </c>
      <c r="C46">
        <v>7</v>
      </c>
    </row>
    <row r="47" spans="1:3" x14ac:dyDescent="0.25">
      <c r="A47" t="s">
        <v>13</v>
      </c>
      <c r="B47" t="s">
        <v>31</v>
      </c>
      <c r="C47">
        <v>7</v>
      </c>
    </row>
    <row r="48" spans="1:3" x14ac:dyDescent="0.25">
      <c r="A48" t="s">
        <v>3</v>
      </c>
      <c r="B48" t="s">
        <v>31</v>
      </c>
      <c r="C48">
        <v>6</v>
      </c>
    </row>
    <row r="49" spans="1:3" x14ac:dyDescent="0.25">
      <c r="A49" t="s">
        <v>21</v>
      </c>
      <c r="B49" t="s">
        <v>31</v>
      </c>
      <c r="C49">
        <v>5</v>
      </c>
    </row>
    <row r="50" spans="1:3" x14ac:dyDescent="0.25">
      <c r="A50" t="s">
        <v>4</v>
      </c>
      <c r="B50" t="s">
        <v>33</v>
      </c>
      <c r="C50">
        <v>5</v>
      </c>
    </row>
    <row r="51" spans="1:3" x14ac:dyDescent="0.25">
      <c r="A51" t="s">
        <v>19</v>
      </c>
      <c r="B51" t="s">
        <v>32</v>
      </c>
      <c r="C51">
        <v>4</v>
      </c>
    </row>
    <row r="52" spans="1:3" x14ac:dyDescent="0.25">
      <c r="A52" t="s">
        <v>25</v>
      </c>
      <c r="B52" t="s">
        <v>33</v>
      </c>
      <c r="C52">
        <v>4</v>
      </c>
    </row>
    <row r="53" spans="1:3" x14ac:dyDescent="0.25">
      <c r="A53" t="s">
        <v>22</v>
      </c>
      <c r="B53" t="s">
        <v>33</v>
      </c>
      <c r="C53">
        <v>3</v>
      </c>
    </row>
    <row r="54" spans="1:3" x14ac:dyDescent="0.25">
      <c r="A54" t="s">
        <v>28</v>
      </c>
      <c r="B54" t="s">
        <v>32</v>
      </c>
      <c r="C54">
        <v>2</v>
      </c>
    </row>
    <row r="55" spans="1:3" x14ac:dyDescent="0.25">
      <c r="A55" t="s">
        <v>14</v>
      </c>
      <c r="B55" t="s">
        <v>31</v>
      </c>
      <c r="C55">
        <v>2</v>
      </c>
    </row>
    <row r="56" spans="1:3" x14ac:dyDescent="0.25">
      <c r="A56" t="s">
        <v>11</v>
      </c>
      <c r="B56" t="s">
        <v>33</v>
      </c>
      <c r="C56">
        <v>1</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AD593-1DB4-4E51-A480-2AFDFE3F2B17}">
  <dimension ref="A1:G16"/>
  <sheetViews>
    <sheetView workbookViewId="0">
      <selection activeCell="AG1" sqref="AG1"/>
    </sheetView>
  </sheetViews>
  <sheetFormatPr defaultRowHeight="15" x14ac:dyDescent="0.25"/>
  <cols>
    <col min="1" max="1" width="10.85546875" bestFit="1" customWidth="1"/>
    <col min="2" max="2" width="13.42578125" customWidth="1"/>
    <col min="3" max="3" width="12.42578125" customWidth="1"/>
    <col min="5" max="5" width="11.28515625" bestFit="1" customWidth="1"/>
    <col min="6" max="6" width="10.7109375" bestFit="1" customWidth="1"/>
    <col min="7" max="7" width="9.7109375" bestFit="1" customWidth="1"/>
    <col min="8" max="8" width="10.85546875" bestFit="1" customWidth="1"/>
  </cols>
  <sheetData>
    <row r="1" spans="1:7" x14ac:dyDescent="0.25">
      <c r="A1" t="s">
        <v>46</v>
      </c>
      <c r="B1" t="s">
        <v>47</v>
      </c>
      <c r="C1" t="s">
        <v>48</v>
      </c>
    </row>
    <row r="2" spans="1:7" x14ac:dyDescent="0.25">
      <c r="A2" t="s">
        <v>49</v>
      </c>
      <c r="B2">
        <v>48.14</v>
      </c>
      <c r="C2">
        <v>71.16</v>
      </c>
    </row>
    <row r="3" spans="1:7" x14ac:dyDescent="0.25">
      <c r="A3" t="s">
        <v>50</v>
      </c>
      <c r="B3">
        <v>29.74</v>
      </c>
      <c r="C3">
        <v>41.49</v>
      </c>
      <c r="E3" s="1" t="s">
        <v>46</v>
      </c>
      <c r="F3" t="s">
        <v>91</v>
      </c>
      <c r="G3" t="s">
        <v>92</v>
      </c>
    </row>
    <row r="4" spans="1:7" x14ac:dyDescent="0.25">
      <c r="A4" t="s">
        <v>51</v>
      </c>
      <c r="B4">
        <v>102.7</v>
      </c>
      <c r="C4">
        <v>113.63</v>
      </c>
      <c r="E4" s="2" t="s">
        <v>49</v>
      </c>
      <c r="F4" s="4">
        <v>0.79051945919316879</v>
      </c>
      <c r="G4" s="4">
        <v>0.9109354498031812</v>
      </c>
    </row>
    <row r="5" spans="1:7" x14ac:dyDescent="0.25">
      <c r="A5" t="s">
        <v>52</v>
      </c>
      <c r="B5">
        <v>73.41</v>
      </c>
      <c r="C5">
        <v>102.59</v>
      </c>
      <c r="E5" s="2" t="s">
        <v>50</v>
      </c>
      <c r="F5" s="4">
        <v>0.48836827412556788</v>
      </c>
      <c r="G5" s="4">
        <v>0.53112298780682954</v>
      </c>
    </row>
    <row r="6" spans="1:7" x14ac:dyDescent="0.25">
      <c r="A6" t="s">
        <v>53</v>
      </c>
      <c r="B6">
        <v>93.54</v>
      </c>
      <c r="C6">
        <v>111.54</v>
      </c>
      <c r="E6" s="2" t="s">
        <v>51</v>
      </c>
      <c r="F6" s="4">
        <v>1.6864634079588374</v>
      </c>
      <c r="G6" s="4">
        <v>1.4546036419496273</v>
      </c>
    </row>
    <row r="7" spans="1:7" x14ac:dyDescent="0.25">
      <c r="A7" t="s">
        <v>54</v>
      </c>
      <c r="B7">
        <v>33.42</v>
      </c>
      <c r="C7">
        <v>42.2</v>
      </c>
      <c r="E7" s="2" t="s">
        <v>52</v>
      </c>
      <c r="F7" s="4">
        <v>1.2054847008593792</v>
      </c>
      <c r="G7" s="4">
        <v>1.3132780746951709</v>
      </c>
    </row>
    <row r="8" spans="1:7" x14ac:dyDescent="0.25">
      <c r="A8" t="s">
        <v>55</v>
      </c>
      <c r="B8">
        <v>39.22</v>
      </c>
      <c r="C8">
        <v>57.86</v>
      </c>
      <c r="E8" s="2" t="s">
        <v>53</v>
      </c>
      <c r="F8" s="4">
        <v>1.5360446658273579</v>
      </c>
      <c r="G8" s="4">
        <v>1.4278490735110574</v>
      </c>
    </row>
    <row r="9" spans="1:7" x14ac:dyDescent="0.25">
      <c r="A9" t="s">
        <v>56</v>
      </c>
      <c r="B9">
        <v>57.47</v>
      </c>
      <c r="C9">
        <v>80.88</v>
      </c>
      <c r="E9" s="2" t="s">
        <v>54</v>
      </c>
      <c r="F9" s="4">
        <v>0.54879851113908806</v>
      </c>
      <c r="G9" s="4">
        <v>0.54021186033859259</v>
      </c>
    </row>
    <row r="10" spans="1:7" x14ac:dyDescent="0.25">
      <c r="A10" t="s">
        <v>57</v>
      </c>
      <c r="B10">
        <v>47.17</v>
      </c>
      <c r="C10">
        <v>72.81</v>
      </c>
      <c r="E10" s="2" t="s">
        <v>55</v>
      </c>
      <c r="F10" s="4">
        <v>0.64404181947561434</v>
      </c>
      <c r="G10" s="4">
        <v>0.74067910519409874</v>
      </c>
    </row>
    <row r="11" spans="1:7" x14ac:dyDescent="0.25">
      <c r="A11" t="s">
        <v>58</v>
      </c>
      <c r="B11">
        <v>104.3</v>
      </c>
      <c r="C11">
        <v>115.22</v>
      </c>
      <c r="E11" s="2" t="s">
        <v>56</v>
      </c>
      <c r="F11" s="4">
        <v>0.94372981553451196</v>
      </c>
      <c r="G11" s="4">
        <v>1.0353633948859091</v>
      </c>
    </row>
    <row r="12" spans="1:7" x14ac:dyDescent="0.25">
      <c r="A12" t="s">
        <v>59</v>
      </c>
      <c r="B12">
        <v>67.260000000000005</v>
      </c>
      <c r="C12">
        <v>80.680000000000007</v>
      </c>
      <c r="E12" s="2" t="s">
        <v>57</v>
      </c>
      <c r="F12" s="4">
        <v>0.77459083693688768</v>
      </c>
      <c r="G12" s="4">
        <v>0.93205747751784185</v>
      </c>
    </row>
    <row r="13" spans="1:7" x14ac:dyDescent="0.25">
      <c r="A13" t="s">
        <v>60</v>
      </c>
      <c r="B13">
        <v>34.39</v>
      </c>
      <c r="C13">
        <v>47.35</v>
      </c>
      <c r="E13" s="2" t="s">
        <v>58</v>
      </c>
      <c r="F13" s="4">
        <v>1.7127374240516722</v>
      </c>
      <c r="G13" s="4">
        <v>1.4749575959292094</v>
      </c>
    </row>
    <row r="14" spans="1:7" x14ac:dyDescent="0.25">
      <c r="E14" s="2" t="s">
        <v>59</v>
      </c>
      <c r="F14" s="4">
        <v>1.1044939515025454</v>
      </c>
      <c r="G14" s="4">
        <v>1.032803149102314</v>
      </c>
    </row>
    <row r="15" spans="1:7" x14ac:dyDescent="0.25">
      <c r="E15" s="2" t="s">
        <v>60</v>
      </c>
      <c r="F15" s="4">
        <v>0.56472713339536917</v>
      </c>
      <c r="G15" s="4">
        <v>0.60613818926616958</v>
      </c>
    </row>
    <row r="16" spans="1:7" x14ac:dyDescent="0.25">
      <c r="E16" s="2" t="s">
        <v>84</v>
      </c>
      <c r="F16" s="4">
        <v>1</v>
      </c>
      <c r="G16" s="4">
        <v>1</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8EA45-A74F-4C2A-8914-56C263909508}">
  <dimension ref="A1:F14"/>
  <sheetViews>
    <sheetView topLeftCell="C1" workbookViewId="0">
      <selection activeCell="E6" sqref="E6"/>
    </sheetView>
  </sheetViews>
  <sheetFormatPr defaultRowHeight="15" x14ac:dyDescent="0.25"/>
  <cols>
    <col min="1" max="1" width="11.28515625" customWidth="1"/>
    <col min="2" max="2" width="12.42578125" customWidth="1"/>
    <col min="4" max="4" width="11.42578125" bestFit="1" customWidth="1"/>
    <col min="5" max="5" width="13.140625" bestFit="1" customWidth="1"/>
    <col min="6" max="6" width="17" bestFit="1" customWidth="1"/>
  </cols>
  <sheetData>
    <row r="1" spans="1:6" x14ac:dyDescent="0.25">
      <c r="A1" t="s">
        <v>34</v>
      </c>
      <c r="B1" t="s">
        <v>35</v>
      </c>
    </row>
    <row r="2" spans="1:6" x14ac:dyDescent="0.25">
      <c r="A2" t="s">
        <v>36</v>
      </c>
      <c r="B2">
        <v>557</v>
      </c>
    </row>
    <row r="3" spans="1:6" x14ac:dyDescent="0.25">
      <c r="A3" t="s">
        <v>37</v>
      </c>
      <c r="B3">
        <v>418</v>
      </c>
      <c r="E3" s="1" t="s">
        <v>83</v>
      </c>
      <c r="F3" t="s">
        <v>94</v>
      </c>
    </row>
    <row r="4" spans="1:6" x14ac:dyDescent="0.25">
      <c r="A4" t="s">
        <v>38</v>
      </c>
      <c r="B4">
        <v>209</v>
      </c>
      <c r="E4" s="2" t="s">
        <v>36</v>
      </c>
      <c r="F4" s="4">
        <v>0.41629297458893871</v>
      </c>
    </row>
    <row r="5" spans="1:6" x14ac:dyDescent="0.25">
      <c r="A5" t="s">
        <v>39</v>
      </c>
      <c r="B5">
        <v>87</v>
      </c>
      <c r="E5" s="2" t="s">
        <v>37</v>
      </c>
      <c r="F5" s="4">
        <v>0.31240657698056801</v>
      </c>
    </row>
    <row r="6" spans="1:6" x14ac:dyDescent="0.25">
      <c r="A6" t="s">
        <v>40</v>
      </c>
      <c r="B6">
        <v>27</v>
      </c>
      <c r="E6" s="2" t="s">
        <v>38</v>
      </c>
      <c r="F6" s="4">
        <v>0.156203288490284</v>
      </c>
    </row>
    <row r="7" spans="1:6" x14ac:dyDescent="0.25">
      <c r="A7" t="s">
        <v>41</v>
      </c>
      <c r="B7">
        <v>24</v>
      </c>
      <c r="E7" s="2" t="s">
        <v>39</v>
      </c>
      <c r="F7" s="4">
        <v>6.5022421524663671E-2</v>
      </c>
    </row>
    <row r="8" spans="1:6" x14ac:dyDescent="0.25">
      <c r="A8" t="s">
        <v>42</v>
      </c>
      <c r="B8">
        <v>8</v>
      </c>
      <c r="E8" s="2" t="s">
        <v>40</v>
      </c>
      <c r="F8" s="4">
        <v>2.0179372197309416E-2</v>
      </c>
    </row>
    <row r="9" spans="1:6" x14ac:dyDescent="0.25">
      <c r="A9" t="s">
        <v>43</v>
      </c>
      <c r="B9">
        <v>6</v>
      </c>
      <c r="E9" s="2" t="s">
        <v>41</v>
      </c>
      <c r="F9" s="4">
        <v>1.7937219730941704E-2</v>
      </c>
    </row>
    <row r="10" spans="1:6" x14ac:dyDescent="0.25">
      <c r="A10" t="s">
        <v>44</v>
      </c>
      <c r="B10">
        <v>1</v>
      </c>
      <c r="E10" s="2" t="s">
        <v>42</v>
      </c>
      <c r="F10" s="4">
        <v>5.9790732436472349E-3</v>
      </c>
    </row>
    <row r="11" spans="1:6" x14ac:dyDescent="0.25">
      <c r="A11" t="s">
        <v>45</v>
      </c>
      <c r="B11">
        <v>1</v>
      </c>
      <c r="E11" s="2" t="s">
        <v>43</v>
      </c>
      <c r="F11" s="4">
        <v>4.4843049327354259E-3</v>
      </c>
    </row>
    <row r="12" spans="1:6" x14ac:dyDescent="0.25">
      <c r="E12" s="2" t="s">
        <v>45</v>
      </c>
      <c r="F12" s="4">
        <v>7.4738415545590436E-4</v>
      </c>
    </row>
    <row r="13" spans="1:6" x14ac:dyDescent="0.25">
      <c r="E13" s="2" t="s">
        <v>44</v>
      </c>
      <c r="F13" s="4">
        <v>7.4738415545590436E-4</v>
      </c>
    </row>
    <row r="14" spans="1:6" x14ac:dyDescent="0.25">
      <c r="E14" s="2" t="s">
        <v>84</v>
      </c>
      <c r="F14" s="4">
        <v>1</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3FAA-263A-4001-B123-967283857BC8}">
  <dimension ref="A1:H25"/>
  <sheetViews>
    <sheetView workbookViewId="0">
      <selection activeCell="W16" sqref="W16"/>
    </sheetView>
  </sheetViews>
  <sheetFormatPr defaultRowHeight="15" x14ac:dyDescent="0.25"/>
  <cols>
    <col min="1" max="1" width="15.7109375" bestFit="1" customWidth="1"/>
    <col min="2" max="2" width="14.28515625" customWidth="1"/>
    <col min="3" max="3" width="10.7109375" customWidth="1"/>
    <col min="6" max="6" width="15.7109375" bestFit="1" customWidth="1"/>
    <col min="7" max="7" width="12" bestFit="1" customWidth="1"/>
    <col min="8" max="8" width="13.140625" bestFit="1" customWidth="1"/>
    <col min="9" max="10" width="2" bestFit="1" customWidth="1"/>
    <col min="11" max="12" width="3" bestFit="1" customWidth="1"/>
    <col min="13" max="13" width="2" bestFit="1" customWidth="1"/>
    <col min="14" max="15" width="3" bestFit="1" customWidth="1"/>
    <col min="16" max="16" width="11.28515625" bestFit="1" customWidth="1"/>
    <col min="17" max="26" width="16.28515625" bestFit="1" customWidth="1"/>
    <col min="27" max="28" width="11.28515625" bestFit="1" customWidth="1"/>
  </cols>
  <sheetData>
    <row r="1" spans="1:8" x14ac:dyDescent="0.25">
      <c r="A1" t="s">
        <v>61</v>
      </c>
      <c r="B1" t="s">
        <v>62</v>
      </c>
      <c r="C1" t="s">
        <v>2</v>
      </c>
    </row>
    <row r="2" spans="1:8" x14ac:dyDescent="0.25">
      <c r="A2" t="s">
        <v>63</v>
      </c>
      <c r="B2">
        <v>1</v>
      </c>
      <c r="C2">
        <v>300.22000000000003</v>
      </c>
    </row>
    <row r="3" spans="1:8" x14ac:dyDescent="0.25">
      <c r="A3" t="s">
        <v>8</v>
      </c>
      <c r="B3">
        <v>38</v>
      </c>
      <c r="C3">
        <v>190.04</v>
      </c>
      <c r="F3" s="1" t="s">
        <v>61</v>
      </c>
      <c r="G3" t="s">
        <v>88</v>
      </c>
      <c r="H3" t="s">
        <v>93</v>
      </c>
    </row>
    <row r="4" spans="1:8" x14ac:dyDescent="0.25">
      <c r="A4" t="s">
        <v>64</v>
      </c>
      <c r="B4">
        <v>5</v>
      </c>
      <c r="C4">
        <v>186.15</v>
      </c>
      <c r="F4" s="2" t="s">
        <v>74</v>
      </c>
      <c r="G4" s="7">
        <v>90.12</v>
      </c>
      <c r="H4" s="7">
        <v>2</v>
      </c>
    </row>
    <row r="5" spans="1:8" x14ac:dyDescent="0.25">
      <c r="A5" t="s">
        <v>65</v>
      </c>
      <c r="B5">
        <v>4</v>
      </c>
      <c r="C5">
        <v>173.82</v>
      </c>
      <c r="F5" s="2" t="s">
        <v>67</v>
      </c>
      <c r="G5" s="7">
        <v>138.16</v>
      </c>
      <c r="H5" s="7">
        <v>1</v>
      </c>
    </row>
    <row r="6" spans="1:8" x14ac:dyDescent="0.25">
      <c r="A6" t="s">
        <v>66</v>
      </c>
      <c r="B6">
        <v>6</v>
      </c>
      <c r="C6">
        <v>170.77</v>
      </c>
      <c r="F6" s="2" t="s">
        <v>66</v>
      </c>
      <c r="G6" s="7">
        <v>170.77</v>
      </c>
      <c r="H6" s="7">
        <v>6</v>
      </c>
    </row>
    <row r="7" spans="1:8" x14ac:dyDescent="0.25">
      <c r="A7" t="s">
        <v>67</v>
      </c>
      <c r="B7">
        <v>1</v>
      </c>
      <c r="C7">
        <v>138.16</v>
      </c>
      <c r="F7" s="2" t="s">
        <v>22</v>
      </c>
      <c r="G7" s="7">
        <v>94.91</v>
      </c>
      <c r="H7" s="7">
        <v>1</v>
      </c>
    </row>
    <row r="8" spans="1:8" x14ac:dyDescent="0.25">
      <c r="A8" t="s">
        <v>68</v>
      </c>
      <c r="B8">
        <v>3</v>
      </c>
      <c r="C8">
        <v>131.4</v>
      </c>
      <c r="F8" s="2" t="s">
        <v>8</v>
      </c>
      <c r="G8" s="7">
        <v>190.04</v>
      </c>
      <c r="H8" s="7">
        <v>38</v>
      </c>
    </row>
    <row r="9" spans="1:8" x14ac:dyDescent="0.25">
      <c r="A9" t="s">
        <v>69</v>
      </c>
      <c r="B9">
        <v>1</v>
      </c>
      <c r="C9">
        <v>127.77</v>
      </c>
      <c r="F9" s="2" t="s">
        <v>63</v>
      </c>
      <c r="G9" s="7">
        <v>300.22000000000003</v>
      </c>
      <c r="H9" s="7">
        <v>1</v>
      </c>
    </row>
    <row r="10" spans="1:8" x14ac:dyDescent="0.25">
      <c r="A10" t="s">
        <v>70</v>
      </c>
      <c r="B10">
        <v>7</v>
      </c>
      <c r="C10">
        <v>125.58</v>
      </c>
      <c r="F10" s="2" t="s">
        <v>65</v>
      </c>
      <c r="G10" s="7">
        <v>173.82</v>
      </c>
      <c r="H10" s="7">
        <v>4</v>
      </c>
    </row>
    <row r="11" spans="1:8" x14ac:dyDescent="0.25">
      <c r="A11" t="s">
        <v>71</v>
      </c>
      <c r="B11">
        <v>2</v>
      </c>
      <c r="C11">
        <v>122.29</v>
      </c>
      <c r="F11" s="2" t="s">
        <v>73</v>
      </c>
      <c r="G11" s="7">
        <v>105.03</v>
      </c>
      <c r="H11" s="7">
        <v>1</v>
      </c>
    </row>
    <row r="12" spans="1:8" x14ac:dyDescent="0.25">
      <c r="A12" t="s">
        <v>72</v>
      </c>
      <c r="B12">
        <v>1</v>
      </c>
      <c r="C12">
        <v>110.59</v>
      </c>
      <c r="F12" s="2" t="s">
        <v>78</v>
      </c>
      <c r="G12" s="7">
        <v>73.709999999999994</v>
      </c>
      <c r="H12" s="7">
        <v>10</v>
      </c>
    </row>
    <row r="13" spans="1:8" x14ac:dyDescent="0.25">
      <c r="A13" t="s">
        <v>73</v>
      </c>
      <c r="B13">
        <v>1</v>
      </c>
      <c r="C13">
        <v>105.03</v>
      </c>
      <c r="F13" s="2" t="s">
        <v>77</v>
      </c>
      <c r="G13" s="7">
        <v>74.92</v>
      </c>
      <c r="H13" s="7">
        <v>4</v>
      </c>
    </row>
    <row r="14" spans="1:8" x14ac:dyDescent="0.25">
      <c r="A14" t="s">
        <v>22</v>
      </c>
      <c r="B14">
        <v>1</v>
      </c>
      <c r="C14">
        <v>94.91</v>
      </c>
      <c r="F14" s="2" t="s">
        <v>69</v>
      </c>
      <c r="G14" s="7">
        <v>127.77</v>
      </c>
      <c r="H14" s="7">
        <v>1</v>
      </c>
    </row>
    <row r="15" spans="1:8" x14ac:dyDescent="0.25">
      <c r="A15" t="s">
        <v>74</v>
      </c>
      <c r="B15">
        <v>2</v>
      </c>
      <c r="C15">
        <v>90.12</v>
      </c>
      <c r="F15" s="2" t="s">
        <v>79</v>
      </c>
      <c r="G15" s="7">
        <v>72.5</v>
      </c>
      <c r="H15" s="7">
        <v>10</v>
      </c>
    </row>
    <row r="16" spans="1:8" x14ac:dyDescent="0.25">
      <c r="A16" t="s">
        <v>75</v>
      </c>
      <c r="B16">
        <v>5</v>
      </c>
      <c r="C16">
        <v>84.18</v>
      </c>
      <c r="F16" s="2" t="s">
        <v>80</v>
      </c>
      <c r="G16" s="7">
        <v>35.57</v>
      </c>
      <c r="H16" s="7">
        <v>1</v>
      </c>
    </row>
    <row r="17" spans="1:8" x14ac:dyDescent="0.25">
      <c r="A17" t="s">
        <v>76</v>
      </c>
      <c r="B17">
        <v>6</v>
      </c>
      <c r="C17">
        <v>80.569999999999993</v>
      </c>
      <c r="F17" s="2" t="s">
        <v>81</v>
      </c>
      <c r="G17" s="7">
        <v>34.15</v>
      </c>
      <c r="H17" s="7">
        <v>1</v>
      </c>
    </row>
    <row r="18" spans="1:8" x14ac:dyDescent="0.25">
      <c r="A18" t="s">
        <v>77</v>
      </c>
      <c r="B18">
        <v>4</v>
      </c>
      <c r="C18">
        <v>74.92</v>
      </c>
      <c r="F18" s="2" t="s">
        <v>71</v>
      </c>
      <c r="G18" s="7">
        <v>122.29</v>
      </c>
      <c r="H18" s="7">
        <v>2</v>
      </c>
    </row>
    <row r="19" spans="1:8" x14ac:dyDescent="0.25">
      <c r="A19" t="s">
        <v>78</v>
      </c>
      <c r="B19">
        <v>10</v>
      </c>
      <c r="C19">
        <v>73.709999999999994</v>
      </c>
      <c r="F19" s="2" t="s">
        <v>72</v>
      </c>
      <c r="G19" s="7">
        <v>110.59</v>
      </c>
      <c r="H19" s="7">
        <v>1</v>
      </c>
    </row>
    <row r="20" spans="1:8" x14ac:dyDescent="0.25">
      <c r="A20" t="s">
        <v>79</v>
      </c>
      <c r="B20">
        <v>10</v>
      </c>
      <c r="C20">
        <v>72.5</v>
      </c>
      <c r="F20" s="2" t="s">
        <v>68</v>
      </c>
      <c r="G20" s="7">
        <v>131.4</v>
      </c>
      <c r="H20" s="7">
        <v>3</v>
      </c>
    </row>
    <row r="21" spans="1:8" x14ac:dyDescent="0.25">
      <c r="A21" t="s">
        <v>80</v>
      </c>
      <c r="B21">
        <v>1</v>
      </c>
      <c r="C21">
        <v>35.57</v>
      </c>
      <c r="F21" s="2" t="s">
        <v>75</v>
      </c>
      <c r="G21" s="7">
        <v>84.18</v>
      </c>
      <c r="H21" s="7">
        <v>5</v>
      </c>
    </row>
    <row r="22" spans="1:8" x14ac:dyDescent="0.25">
      <c r="A22" t="s">
        <v>81</v>
      </c>
      <c r="B22">
        <v>1</v>
      </c>
      <c r="C22">
        <v>34.15</v>
      </c>
      <c r="F22" s="2" t="s">
        <v>76</v>
      </c>
      <c r="G22" s="7">
        <v>80.569999999999993</v>
      </c>
      <c r="H22" s="7">
        <v>6</v>
      </c>
    </row>
    <row r="23" spans="1:8" x14ac:dyDescent="0.25">
      <c r="F23" s="2" t="s">
        <v>64</v>
      </c>
      <c r="G23" s="7">
        <v>186.15</v>
      </c>
      <c r="H23" s="7">
        <v>5</v>
      </c>
    </row>
    <row r="24" spans="1:8" x14ac:dyDescent="0.25">
      <c r="F24" s="2" t="s">
        <v>70</v>
      </c>
      <c r="G24" s="7">
        <v>125.58</v>
      </c>
      <c r="H24" s="7">
        <v>7</v>
      </c>
    </row>
    <row r="25" spans="1:8" x14ac:dyDescent="0.25">
      <c r="F25" s="2" t="s">
        <v>84</v>
      </c>
      <c r="G25" s="7">
        <v>120.11666666666666</v>
      </c>
      <c r="H25" s="7">
        <v>110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556AE-1DD7-4FE9-9293-2BE4AA47F11D}">
  <dimension ref="A1:AG68"/>
  <sheetViews>
    <sheetView showGridLines="0" tabSelected="1" topLeftCell="A2" zoomScale="29" zoomScaleNormal="29" workbookViewId="0">
      <selection activeCell="AI56" sqref="AI56"/>
    </sheetView>
  </sheetViews>
  <sheetFormatPr defaultColWidth="0" defaultRowHeight="15" x14ac:dyDescent="0.25"/>
  <cols>
    <col min="1" max="1" width="6.42578125" style="8" customWidth="1"/>
    <col min="2" max="2" width="9.140625" style="8" hidden="1" customWidth="1"/>
    <col min="3" max="32" width="9.140625" style="8" customWidth="1"/>
    <col min="33" max="33" width="47.42578125" style="8" customWidth="1"/>
    <col min="34" max="42" width="9.140625" style="8" customWidth="1"/>
    <col min="43" max="16384" width="9.140625" style="8" hidden="1"/>
  </cols>
  <sheetData>
    <row r="1" s="8" customFormat="1" x14ac:dyDescent="0.25"/>
    <row r="2" s="8" customFormat="1" x14ac:dyDescent="0.25"/>
    <row r="3" s="8" customFormat="1" x14ac:dyDescent="0.25"/>
    <row r="4" s="8" customFormat="1" x14ac:dyDescent="0.25"/>
    <row r="5" s="8" customFormat="1" x14ac:dyDescent="0.25"/>
    <row r="6" s="8" customFormat="1" x14ac:dyDescent="0.25"/>
    <row r="7" s="8" customFormat="1" x14ac:dyDescent="0.25"/>
    <row r="8" s="8" customFormat="1" x14ac:dyDescent="0.25"/>
    <row r="9" s="8" customFormat="1" x14ac:dyDescent="0.25"/>
    <row r="10" s="8" customFormat="1" x14ac:dyDescent="0.25"/>
    <row r="11" s="8" customFormat="1" x14ac:dyDescent="0.25"/>
    <row r="12" s="8" customFormat="1" x14ac:dyDescent="0.25"/>
    <row r="13" s="8" customFormat="1" x14ac:dyDescent="0.25"/>
    <row r="14" s="8" customFormat="1" x14ac:dyDescent="0.25"/>
    <row r="15" s="8" customFormat="1" x14ac:dyDescent="0.25"/>
    <row r="16" s="8" customFormat="1" x14ac:dyDescent="0.25"/>
    <row r="26" spans="33:33" x14ac:dyDescent="0.25">
      <c r="AG26" s="9"/>
    </row>
    <row r="33" s="8" customFormat="1" x14ac:dyDescent="0.25"/>
    <row r="34" s="8" customFormat="1" x14ac:dyDescent="0.25"/>
    <row r="35" s="8" customFormat="1" x14ac:dyDescent="0.25"/>
    <row r="36" s="8" customFormat="1" x14ac:dyDescent="0.25"/>
    <row r="37" s="8" customFormat="1" x14ac:dyDescent="0.25"/>
    <row r="38" s="8" customFormat="1" x14ac:dyDescent="0.25"/>
    <row r="39" s="8" customFormat="1" x14ac:dyDescent="0.25"/>
    <row r="40" s="8" customFormat="1" x14ac:dyDescent="0.25"/>
    <row r="41" s="8" customFormat="1" x14ac:dyDescent="0.25"/>
    <row r="42" s="8" customFormat="1" x14ac:dyDescent="0.25"/>
    <row r="43" s="8" customFormat="1" x14ac:dyDescent="0.25"/>
    <row r="44" s="8" customFormat="1" x14ac:dyDescent="0.25"/>
    <row r="45" s="8" customFormat="1" x14ac:dyDescent="0.25"/>
    <row r="46" s="8" customFormat="1" x14ac:dyDescent="0.25"/>
    <row r="47" s="8" customFormat="1" x14ac:dyDescent="0.25"/>
    <row r="48" s="8" customFormat="1" x14ac:dyDescent="0.25"/>
    <row r="49" s="8" customFormat="1" x14ac:dyDescent="0.25"/>
    <row r="50" s="8" customFormat="1" x14ac:dyDescent="0.25"/>
    <row r="51" s="8" customFormat="1" x14ac:dyDescent="0.25"/>
    <row r="52" s="8" customFormat="1" x14ac:dyDescent="0.25"/>
    <row r="53" s="8" customFormat="1" x14ac:dyDescent="0.25"/>
    <row r="54" s="8" customFormat="1" x14ac:dyDescent="0.25"/>
    <row r="55" s="8" customFormat="1" x14ac:dyDescent="0.25"/>
    <row r="56" s="8" customFormat="1" x14ac:dyDescent="0.25"/>
    <row r="57" s="8" customFormat="1" x14ac:dyDescent="0.25"/>
    <row r="58" s="8" customFormat="1" x14ac:dyDescent="0.25"/>
    <row r="59" s="8" customFormat="1" x14ac:dyDescent="0.25"/>
    <row r="60" s="8" customFormat="1" x14ac:dyDescent="0.25"/>
    <row r="61" s="8" customFormat="1" x14ac:dyDescent="0.25"/>
    <row r="62" s="8" customFormat="1" x14ac:dyDescent="0.25"/>
    <row r="63" s="8" customFormat="1" x14ac:dyDescent="0.25"/>
    <row r="64" s="8" customFormat="1" x14ac:dyDescent="0.25"/>
    <row r="65" s="8" customFormat="1" x14ac:dyDescent="0.25"/>
    <row r="66" s="8" customFormat="1" x14ac:dyDescent="0.25"/>
    <row r="67" s="8" customFormat="1" x14ac:dyDescent="0.25"/>
    <row r="68" s="8"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City Wise AQI</vt:lpstr>
      <vt:lpstr>Polluted City</vt:lpstr>
      <vt:lpstr>AQI Bucket</vt:lpstr>
      <vt:lpstr>MonthWise Pollutant</vt:lpstr>
      <vt:lpstr>Pollutant Levels</vt:lpstr>
      <vt:lpstr>Station Vs. AQI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MYMD-308</dc:creator>
  <cp:lastModifiedBy>MYMD-308</cp:lastModifiedBy>
  <dcterms:created xsi:type="dcterms:W3CDTF">2026-01-14T10:40:20Z</dcterms:created>
  <dcterms:modified xsi:type="dcterms:W3CDTF">2026-01-17T08:30:28Z</dcterms:modified>
</cp:coreProperties>
</file>